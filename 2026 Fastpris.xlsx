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mayrita/Downloads/"/>
    </mc:Choice>
  </mc:AlternateContent>
  <xr:revisionPtr revIDLastSave="0" documentId="8_{A0C5CE54-1673-4532-83F1-529861BE8671}" xr6:coauthVersionLast="47" xr6:coauthVersionMax="47" xr10:uidLastSave="{00000000-0000-0000-0000-000000000000}"/>
  <bookViews>
    <workbookView xWindow="7600" yWindow="680" windowWidth="25140" windowHeight="18440" xr2:uid="{AF2A9514-EBCE-FC45-850D-D51213E62533}"/>
  </bookViews>
  <sheets>
    <sheet name="Vurdering Fastpris" sheetId="16" r:id="rId1"/>
    <sheet name="Vurdering Controller" sheetId="18" r:id="rId2"/>
    <sheet name="Pris 2026" sheetId="1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6" l="1"/>
  <c r="G33" i="18"/>
  <c r="F33" i="18"/>
  <c r="F110" i="18"/>
  <c r="F106" i="18"/>
  <c r="C99" i="18"/>
  <c r="F89" i="18"/>
  <c r="F84" i="18"/>
  <c r="G84" i="18" s="1"/>
  <c r="F83" i="18"/>
  <c r="G83" i="18" s="1"/>
  <c r="F79" i="18"/>
  <c r="G79" i="18" s="1"/>
  <c r="F78" i="18"/>
  <c r="G78" i="18" s="1"/>
  <c r="F76" i="18"/>
  <c r="G76" i="18" s="1"/>
  <c r="F74" i="18"/>
  <c r="G74" i="18" s="1"/>
  <c r="F73" i="18"/>
  <c r="G73" i="18" s="1"/>
  <c r="F72" i="18"/>
  <c r="G72" i="18" s="1"/>
  <c r="F70" i="18"/>
  <c r="G70" i="18" s="1"/>
  <c r="F69" i="18"/>
  <c r="G69" i="18" s="1"/>
  <c r="G67" i="18"/>
  <c r="G85" i="18" s="1"/>
  <c r="C95" i="18" s="1"/>
  <c r="D95" i="18" s="1"/>
  <c r="F67" i="18"/>
  <c r="F85" i="18" s="1"/>
  <c r="C62" i="18"/>
  <c r="D62" i="18" s="1"/>
  <c r="F62" i="18" s="1"/>
  <c r="I62" i="18" s="1"/>
  <c r="C56" i="18"/>
  <c r="F44" i="18"/>
  <c r="D44" i="18"/>
  <c r="E44" i="18" s="1"/>
  <c r="G44" i="18" s="1"/>
  <c r="H44" i="18" s="1"/>
  <c r="C50" i="18" s="1"/>
  <c r="D50" i="18" s="1"/>
  <c r="G34" i="18"/>
  <c r="F34" i="18"/>
  <c r="G32" i="18"/>
  <c r="F32" i="18"/>
  <c r="G31" i="18"/>
  <c r="F31" i="18"/>
  <c r="G30" i="18"/>
  <c r="F30" i="18"/>
  <c r="G29" i="18"/>
  <c r="F29" i="18"/>
  <c r="G28" i="18"/>
  <c r="G35" i="18" s="1"/>
  <c r="C51" i="18" s="1"/>
  <c r="D51" i="18" s="1"/>
  <c r="F28" i="18"/>
  <c r="F35" i="18" s="1"/>
  <c r="E23" i="18"/>
  <c r="G23" i="18" s="1"/>
  <c r="E19" i="18"/>
  <c r="F18" i="18"/>
  <c r="G18" i="18" s="1"/>
  <c r="F17" i="18"/>
  <c r="G17" i="18" s="1"/>
  <c r="F16" i="18"/>
  <c r="C23" i="18"/>
  <c r="G23" i="16"/>
  <c r="F23" i="16"/>
  <c r="D42" i="17"/>
  <c r="C40" i="17"/>
  <c r="F44" i="16"/>
  <c r="D44" i="16"/>
  <c r="E44" i="16" s="1"/>
  <c r="G44" i="16" s="1"/>
  <c r="H44" i="16" s="1"/>
  <c r="F106" i="16"/>
  <c r="C99" i="16"/>
  <c r="C62" i="16"/>
  <c r="F84" i="16"/>
  <c r="G84" i="16" s="1"/>
  <c r="F83" i="16"/>
  <c r="G83" i="16" s="1"/>
  <c r="G67" i="16"/>
  <c r="F79" i="16"/>
  <c r="G79" i="16" s="1"/>
  <c r="F69" i="16"/>
  <c r="G69" i="16" s="1"/>
  <c r="F70" i="16"/>
  <c r="G70" i="16" s="1"/>
  <c r="F89" i="16"/>
  <c r="F74" i="16"/>
  <c r="G74" i="16" s="1"/>
  <c r="F73" i="16"/>
  <c r="G73" i="16" s="1"/>
  <c r="F76" i="16"/>
  <c r="G76" i="16" s="1"/>
  <c r="F78" i="16"/>
  <c r="G78" i="16" s="1"/>
  <c r="F72" i="16"/>
  <c r="E19" i="16"/>
  <c r="G29" i="16"/>
  <c r="F29" i="16" s="1"/>
  <c r="G30" i="16"/>
  <c r="F30" i="16" s="1"/>
  <c r="G31" i="16"/>
  <c r="F31" i="16" s="1"/>
  <c r="G32" i="16"/>
  <c r="F32" i="16" s="1"/>
  <c r="G33" i="16"/>
  <c r="F33" i="16" s="1"/>
  <c r="G34" i="16"/>
  <c r="F34" i="16" s="1"/>
  <c r="G28" i="16"/>
  <c r="E23" i="16"/>
  <c r="D11" i="16"/>
  <c r="C23" i="16" s="1"/>
  <c r="F110" i="16"/>
  <c r="F18" i="16"/>
  <c r="G18" i="16" s="1"/>
  <c r="F17" i="16"/>
  <c r="G17" i="16" s="1"/>
  <c r="F16" i="16"/>
  <c r="F19" i="18" l="1"/>
  <c r="G16" i="18"/>
  <c r="G19" i="18" s="1"/>
  <c r="C52" i="18" s="1"/>
  <c r="D52" i="18" s="1"/>
  <c r="G24" i="18"/>
  <c r="C49" i="18" s="1"/>
  <c r="F23" i="18"/>
  <c r="F24" i="18" s="1"/>
  <c r="C94" i="18"/>
  <c r="H62" i="18"/>
  <c r="F91" i="18"/>
  <c r="G89" i="18"/>
  <c r="G91" i="18" s="1"/>
  <c r="D62" i="16"/>
  <c r="F62" i="16" s="1"/>
  <c r="I62" i="16" s="1"/>
  <c r="H62" i="16"/>
  <c r="C94" i="16"/>
  <c r="D94" i="16"/>
  <c r="G89" i="16"/>
  <c r="F91" i="16"/>
  <c r="F67" i="16"/>
  <c r="F85" i="16" s="1"/>
  <c r="G72" i="16"/>
  <c r="G85" i="16" s="1"/>
  <c r="C95" i="16" s="1"/>
  <c r="G16" i="16"/>
  <c r="G19" i="16" s="1"/>
  <c r="F19" i="16"/>
  <c r="F28" i="16"/>
  <c r="F35" i="16" s="1"/>
  <c r="G35" i="16"/>
  <c r="C51" i="16" s="1"/>
  <c r="G24" i="16"/>
  <c r="C49" i="16" s="1"/>
  <c r="D99" i="16" l="1"/>
  <c r="D99" i="18"/>
  <c r="C96" i="18"/>
  <c r="F105" i="18" s="1"/>
  <c r="D94" i="18"/>
  <c r="D56" i="18"/>
  <c r="C53" i="18"/>
  <c r="F104" i="18" s="1"/>
  <c r="F108" i="18" s="1"/>
  <c r="D49" i="18"/>
  <c r="E99" i="16"/>
  <c r="C105" i="16"/>
  <c r="C96" i="16"/>
  <c r="F105" i="16" s="1"/>
  <c r="D95" i="16"/>
  <c r="F99" i="16" s="1"/>
  <c r="D105" i="16" s="1"/>
  <c r="D96" i="16"/>
  <c r="E105" i="16" s="1"/>
  <c r="G91" i="16"/>
  <c r="D49" i="16"/>
  <c r="F24" i="16"/>
  <c r="C50" i="16"/>
  <c r="F56" i="18" l="1"/>
  <c r="D104" i="18" s="1"/>
  <c r="D53" i="18"/>
  <c r="E104" i="18" s="1"/>
  <c r="C104" i="18"/>
  <c r="E56" i="18"/>
  <c r="F99" i="18"/>
  <c r="D105" i="18" s="1"/>
  <c r="D96" i="18"/>
  <c r="E105" i="18" s="1"/>
  <c r="C105" i="18"/>
  <c r="E99" i="18"/>
  <c r="D56" i="16"/>
  <c r="D50" i="16"/>
  <c r="C108" i="18" l="1"/>
  <c r="E108" i="18"/>
  <c r="D108" i="18"/>
  <c r="E56" i="16"/>
  <c r="C104" i="16"/>
  <c r="C108" i="16" s="1"/>
  <c r="D51" i="16" l="1"/>
  <c r="C53" i="16" l="1"/>
  <c r="F104" i="16" s="1"/>
  <c r="F108" i="16" s="1"/>
  <c r="D52" i="16"/>
  <c r="D53" i="16" s="1"/>
  <c r="E104" i="16" s="1"/>
  <c r="E108" i="16" s="1"/>
  <c r="F56" i="16"/>
  <c r="D104" i="16" s="1"/>
  <c r="D10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tc={156C3628-3314-224D-9B6E-FEC878F315A6}</author>
    <author>tc={B72D2D81-F521-834D-A778-AD0F9B1C7D6D}</author>
  </authors>
  <commentList>
    <comment ref="D23" authorId="0" shapeId="0" xr:uid="{156C3628-3314-224D-9B6E-FEC878F315A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taball "timebruk ansatte" for å se antall ansatte i selskapet. Se så videre timebruk som forventes skal på løpe. 
Eks: er det 6 ansatte, skal det skrives inn 1,5,t i dette feltet</t>
      </text>
    </comment>
    <comment ref="C44" authorId="1" shapeId="0" xr:uid="{B72D2D81-F521-834D-A778-AD0F9B1C7D6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taball "timebruk ansatte" for å se antall ansatte i selskapet. Se så videre under kolonne "Avstemming lønnsområde" og timebruk som forventes skal på løpe. 
Eks: er det 6 ansatte, skal det skrives inn 1,5,t i dette feltet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tc={35C567AF-4AC6-41CC-94A7-2874424A1477}</author>
    <author>tc={EFDF6C09-A5A6-4156-88EE-AD3C9542E07B}</author>
  </authors>
  <commentList>
    <comment ref="D23" authorId="0" shapeId="0" xr:uid="{35C567AF-4AC6-41CC-94A7-2874424A147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taball "timebruk ansatte" for å se antall ansatte i selskapet. Se så videre timebruk som forventes skal på løpe. 
Eks: er det 6 ansatte, skal det skrives inn 1,5,t i dette feltet</t>
      </text>
    </comment>
    <comment ref="C44" authorId="1" shapeId="0" xr:uid="{EFDF6C09-A5A6-4156-88EE-AD3C9542E07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taball "timebruk ansatte" for å se antall ansatte i selskapet. Se så videre under kolonne "Avstemming lønnsområde" og timebruk som forventes skal på løpe. 
Eks: er det 6 ansatte, skal det skrives inn 1,5,t i dette feltet</t>
      </text>
    </comment>
  </commentList>
</comments>
</file>

<file path=xl/sharedStrings.xml><?xml version="1.0" encoding="utf-8"?>
<sst xmlns="http://schemas.openxmlformats.org/spreadsheetml/2006/main" count="390" uniqueCount="152">
  <si>
    <t>KONTOR</t>
  </si>
  <si>
    <t>Apalveien 9C AS</t>
  </si>
  <si>
    <t>Sett inn tall i gulfelt</t>
  </si>
  <si>
    <t>Informasjon</t>
  </si>
  <si>
    <t>Antall ansatte</t>
  </si>
  <si>
    <t>Antall bilag i mnd</t>
  </si>
  <si>
    <t>MVA-registert</t>
  </si>
  <si>
    <t>Termin</t>
  </si>
  <si>
    <t>LØNN</t>
  </si>
  <si>
    <t>Timepris</t>
  </si>
  <si>
    <t>Lovpålagt lønnsområde</t>
  </si>
  <si>
    <t>Tidsbruk mnd</t>
  </si>
  <si>
    <t>Antall år</t>
  </si>
  <si>
    <t>Pris a (stk pris)</t>
  </si>
  <si>
    <t>Kostnad årlig</t>
  </si>
  <si>
    <t>Konstnad mnd</t>
  </si>
  <si>
    <t>Tidsbruk ansatte</t>
  </si>
  <si>
    <t>A-melding</t>
  </si>
  <si>
    <t>IA</t>
  </si>
  <si>
    <t>Område</t>
  </si>
  <si>
    <t>Lønnskjøring</t>
  </si>
  <si>
    <t>Avstemming lønnsområde</t>
  </si>
  <si>
    <t>Terminoppgave</t>
  </si>
  <si>
    <t>Ansatte</t>
  </si>
  <si>
    <t>Antall</t>
  </si>
  <si>
    <t>Tidsbruk</t>
  </si>
  <si>
    <t>Sammenstillingsopgave</t>
  </si>
  <si>
    <t>1-2</t>
  </si>
  <si>
    <t>time</t>
  </si>
  <si>
    <t>time pr termin</t>
  </si>
  <si>
    <t>3-4</t>
  </si>
  <si>
    <t>5-6</t>
  </si>
  <si>
    <t>7-8</t>
  </si>
  <si>
    <t>Lønnskjøring (utarbeidelse)</t>
  </si>
  <si>
    <t>Tidsbruk pr antall</t>
  </si>
  <si>
    <t>9-10</t>
  </si>
  <si>
    <t>Pr ansatt</t>
  </si>
  <si>
    <t>11-14</t>
  </si>
  <si>
    <t>Tidsbruk lønnskjøring</t>
  </si>
  <si>
    <t>15-19</t>
  </si>
  <si>
    <t>20-24</t>
  </si>
  <si>
    <t>Andre tilleggstjenester</t>
  </si>
  <si>
    <t>Tidsbruk mnd/antall mnd</t>
  </si>
  <si>
    <t>Pris</t>
  </si>
  <si>
    <t>Inntektsmelding og oppfølgning</t>
  </si>
  <si>
    <t>Reiseregning</t>
  </si>
  <si>
    <t>OTP</t>
  </si>
  <si>
    <t>...</t>
  </si>
  <si>
    <t>Andre lønnstjenester</t>
  </si>
  <si>
    <t>Timebruk pr Termin</t>
  </si>
  <si>
    <t>Timebruk pr mnd</t>
  </si>
  <si>
    <t>Timebruk pr år</t>
  </si>
  <si>
    <t>Pris a</t>
  </si>
  <si>
    <t>Kostnad mnd</t>
  </si>
  <si>
    <t>Avstemming Skatt</t>
  </si>
  <si>
    <t>Avstemming AGA</t>
  </si>
  <si>
    <t>Avstemming FP</t>
  </si>
  <si>
    <t>Avstemming ansatt</t>
  </si>
  <si>
    <t>Sum lønnsområde</t>
  </si>
  <si>
    <t>Kostnad år</t>
  </si>
  <si>
    <t xml:space="preserve">Sum </t>
  </si>
  <si>
    <t>Timeforbruk mnd</t>
  </si>
  <si>
    <t>Timebruk termin</t>
  </si>
  <si>
    <t>Timbebruk år</t>
  </si>
  <si>
    <t>Omsetning delt på timepris</t>
  </si>
  <si>
    <t>REGNSKAP</t>
  </si>
  <si>
    <t>Antall bilag</t>
  </si>
  <si>
    <t>Regnskapstjenester</t>
  </si>
  <si>
    <t>Antall bilag årlig</t>
  </si>
  <si>
    <t>Antall bilag mnd</t>
  </si>
  <si>
    <t>Antall min pr bilag</t>
  </si>
  <si>
    <t>Pris årlig</t>
  </si>
  <si>
    <t>Pris mnd</t>
  </si>
  <si>
    <t>Bokføring og avstemming*</t>
  </si>
  <si>
    <t>*antall min pr bilag innebærer: Bokføring, avstemming, bankavstemming</t>
  </si>
  <si>
    <t>Antall i året</t>
  </si>
  <si>
    <t>Antall i mnd</t>
  </si>
  <si>
    <t xml:space="preserve">Rådgivning </t>
  </si>
  <si>
    <t>MVA (termin)</t>
  </si>
  <si>
    <t>MVA (årlig)</t>
  </si>
  <si>
    <t>Årsoppgjør AS</t>
  </si>
  <si>
    <t>Skattemelding EPF</t>
  </si>
  <si>
    <t>Holdingseselskap</t>
  </si>
  <si>
    <t>Aksjonærregisteroppgave</t>
  </si>
  <si>
    <t>Lovpålagt (kvalitet &amp; AML)</t>
  </si>
  <si>
    <t>Lovpålagt (kvalitet &amp; AML)Årlig kunde</t>
  </si>
  <si>
    <t>...Annet</t>
  </si>
  <si>
    <t>Periode og år (ordinær)</t>
  </si>
  <si>
    <t>Periode og år (konsern)</t>
  </si>
  <si>
    <t>Sum</t>
  </si>
  <si>
    <t>Annet</t>
  </si>
  <si>
    <t>Oppstartskostnad</t>
  </si>
  <si>
    <t>(Vurderes fra kr 10.000 - til kr 15.000,-)</t>
  </si>
  <si>
    <t>Sum regnskapsområde</t>
  </si>
  <si>
    <t>Oppsummering</t>
  </si>
  <si>
    <t>Tidsbruk årlig</t>
  </si>
  <si>
    <t>Pris år</t>
  </si>
  <si>
    <t>Lønnsområde</t>
  </si>
  <si>
    <t>Regnskapsområde</t>
  </si>
  <si>
    <t>Summering pris</t>
  </si>
  <si>
    <t>TILBUD</t>
  </si>
  <si>
    <t>Tilbud gitt:</t>
  </si>
  <si>
    <t>Oppstartskostnad (Vurderes fra kr 10.000 - til kr 15.000,-)</t>
  </si>
  <si>
    <t>BB Ventilasjon AS</t>
  </si>
  <si>
    <t>Avstemme Lønn</t>
  </si>
  <si>
    <t>Avstemme Regnskap</t>
  </si>
  <si>
    <t xml:space="preserve">Årsregnskap </t>
  </si>
  <si>
    <t xml:space="preserve">Klargjøring til årsregnskap </t>
  </si>
  <si>
    <t>PRISER 2026</t>
  </si>
  <si>
    <r>
      <t>Utdypning av priser finnes på siste side*</t>
    </r>
    <r>
      <rPr>
        <i/>
        <vertAlign val="superscript"/>
        <sz val="8"/>
        <rFont val="Calibri"/>
        <family val="2"/>
      </rPr>
      <t>1</t>
    </r>
    <r>
      <rPr>
        <sz val="8"/>
        <rFont val="Calibri"/>
        <family val="2"/>
      </rPr>
      <t> </t>
    </r>
  </si>
  <si>
    <r>
      <t>Regnskapsførsel, avstemming, fakturering og journal, tilpasset rapportering</t>
    </r>
    <r>
      <rPr>
        <sz val="11"/>
        <rFont val="Calibri"/>
        <family val="2"/>
      </rPr>
      <t> </t>
    </r>
  </si>
  <si>
    <r>
      <t>Lønnsutarbeidelse og avstemming</t>
    </r>
    <r>
      <rPr>
        <sz val="11"/>
        <rFont val="Calibri"/>
        <family val="2"/>
      </rPr>
      <t> </t>
    </r>
  </si>
  <si>
    <r>
      <t>Konsulenttjenester og rådgivning med tilsvarende, møte</t>
    </r>
    <r>
      <rPr>
        <sz val="11"/>
        <rFont val="Calibri"/>
        <family val="2"/>
      </rPr>
      <t> </t>
    </r>
  </si>
  <si>
    <r>
      <t>Seniorrådgivning</t>
    </r>
    <r>
      <rPr>
        <sz val="11"/>
        <rFont val="Calibri"/>
        <family val="2"/>
      </rPr>
      <t> </t>
    </r>
  </si>
  <si>
    <t>Priser over gjelder pr. time. Fakturerer pr påbegynte kvarter </t>
  </si>
  <si>
    <r>
      <t>Lønnsrapportering</t>
    </r>
    <r>
      <rPr>
        <sz val="11"/>
        <rFont val="Calibri"/>
        <family val="2"/>
      </rPr>
      <t>– mnd. pris</t>
    </r>
    <r>
      <rPr>
        <b/>
        <sz val="11"/>
        <rFont val="Calibri"/>
        <family val="2"/>
      </rPr>
      <t> </t>
    </r>
    <r>
      <rPr>
        <sz val="11"/>
        <rFont val="Calibri"/>
        <family val="2"/>
      </rPr>
      <t> </t>
    </r>
  </si>
  <si>
    <r>
      <t>MVA-pliktig selskap (termin)</t>
    </r>
    <r>
      <rPr>
        <sz val="11"/>
        <rFont val="Calibri"/>
        <family val="2"/>
      </rPr>
      <t>– mnd. pris  </t>
    </r>
  </si>
  <si>
    <r>
      <t xml:space="preserve">MVA-pliktig selskap (årstermin) </t>
    </r>
    <r>
      <rPr>
        <sz val="11"/>
        <rFont val="Calibri"/>
        <family val="2"/>
      </rPr>
      <t>– årlig pris </t>
    </r>
  </si>
  <si>
    <r>
      <t xml:space="preserve">Lovpålagt kvalitetshandling </t>
    </r>
    <r>
      <rPr>
        <sz val="11"/>
        <rFont val="Calibri"/>
        <family val="2"/>
      </rPr>
      <t>– mnd. pris </t>
    </r>
  </si>
  <si>
    <r>
      <t xml:space="preserve">Årsoppgjør for AS </t>
    </r>
    <r>
      <rPr>
        <sz val="11"/>
        <rFont val="Calibri"/>
        <family val="2"/>
      </rPr>
      <t>– fastpris  </t>
    </r>
  </si>
  <si>
    <r>
      <t xml:space="preserve">Aksjonærregisteroppgave med/uten endringer </t>
    </r>
    <r>
      <rPr>
        <sz val="11"/>
        <rFont val="Calibri"/>
        <family val="2"/>
      </rPr>
      <t>– fastpris </t>
    </r>
  </si>
  <si>
    <r>
      <t xml:space="preserve">Aksjonærregisteroppgave ved emisjon </t>
    </r>
    <r>
      <rPr>
        <sz val="11"/>
        <rFont val="Calibri"/>
        <family val="2"/>
      </rPr>
      <t>– fastpris </t>
    </r>
  </si>
  <si>
    <r>
      <t xml:space="preserve">Skattemelding for enkeltpersonforetak </t>
    </r>
    <r>
      <rPr>
        <sz val="11"/>
        <rFont val="Calibri"/>
        <family val="2"/>
      </rPr>
      <t>– fastpris </t>
    </r>
  </si>
  <si>
    <r>
      <t xml:space="preserve">Holdingselskap </t>
    </r>
    <r>
      <rPr>
        <sz val="11"/>
        <rFont val="Calibri"/>
        <family val="2"/>
      </rPr>
      <t>(inkl. bokføring, aksjonærregisteroppgave, årsoppgjør, lovpålagte kvalitetshandling) Under 30 bilag </t>
    </r>
  </si>
  <si>
    <r>
      <t xml:space="preserve">Oppstartskostnader nye kunder </t>
    </r>
    <r>
      <rPr>
        <sz val="11"/>
        <rFont val="Calibri"/>
        <family val="2"/>
      </rPr>
      <t>(engangskostnad) </t>
    </r>
  </si>
  <si>
    <t>10.000-15.000</t>
  </si>
  <si>
    <r>
      <t xml:space="preserve">Protokoll, bekreftelser, signeringer ol. </t>
    </r>
    <r>
      <rPr>
        <sz val="11"/>
        <rFont val="Calibri"/>
        <family val="2"/>
      </rPr>
      <t>– pr stk. </t>
    </r>
  </si>
  <si>
    <r>
      <t>Stiftelse av selskap</t>
    </r>
    <r>
      <rPr>
        <sz val="11"/>
        <rFont val="Calibri"/>
        <family val="2"/>
      </rPr>
      <t> </t>
    </r>
  </si>
  <si>
    <r>
      <t xml:space="preserve">Avvikling </t>
    </r>
    <r>
      <rPr>
        <sz val="11"/>
        <rFont val="Calibri"/>
        <family val="2"/>
      </rPr>
      <t>– startpris</t>
    </r>
    <r>
      <rPr>
        <b/>
        <sz val="11"/>
        <rFont val="Calibri"/>
        <family val="2"/>
      </rPr>
      <t> </t>
    </r>
    <r>
      <rPr>
        <sz val="11"/>
        <rFont val="Calibri"/>
        <family val="2"/>
      </rPr>
      <t> </t>
    </r>
  </si>
  <si>
    <r>
      <t>*</t>
    </r>
    <r>
      <rPr>
        <b/>
        <vertAlign val="superscript"/>
        <sz val="9.5"/>
        <rFont val="Calibri"/>
        <family val="2"/>
      </rPr>
      <t xml:space="preserve">1 </t>
    </r>
    <r>
      <rPr>
        <b/>
        <sz val="12"/>
        <rFont val="Calibri"/>
        <family val="2"/>
      </rPr>
      <t>Priser 2025 – Utdypende</t>
    </r>
    <r>
      <rPr>
        <sz val="12"/>
        <rFont val="Calibri"/>
        <family val="2"/>
      </rPr>
      <t> </t>
    </r>
  </si>
  <si>
    <r>
      <t>Konsulenttjenester og rådgivning med tilsvarende, kundemøter</t>
    </r>
    <r>
      <rPr>
        <sz val="11"/>
        <rFont val="Calibri"/>
        <family val="2"/>
      </rPr>
      <t> </t>
    </r>
  </si>
  <si>
    <r>
      <t>Pris gjelder pr. time. Fakturerer pr påbegynte kvarter</t>
    </r>
    <r>
      <rPr>
        <sz val="11"/>
        <rFont val="Calibri"/>
        <family val="2"/>
      </rPr>
      <t> </t>
    </r>
  </si>
  <si>
    <t>Rådgivning </t>
  </si>
  <si>
    <t>Controlleroppdrag </t>
  </si>
  <si>
    <t>Tilpasset rapporter, budsjettering, likviditetsbudsjett mv. </t>
  </si>
  <si>
    <r>
      <t>*2</t>
    </r>
    <r>
      <rPr>
        <b/>
        <sz val="11"/>
        <rFont val="Calibri"/>
        <family val="2"/>
      </rPr>
      <t xml:space="preserve"> Lønnsrapportering</t>
    </r>
    <r>
      <rPr>
        <i/>
        <sz val="11"/>
        <rFont val="Calibri"/>
        <family val="2"/>
      </rPr>
      <t xml:space="preserve"> </t>
    </r>
  </si>
  <si>
    <t>A-melding x12 stk </t>
  </si>
  <si>
    <t>Betalingsoppgave x6 stk </t>
  </si>
  <si>
    <t>Sammenstillingsoppgave ansatte x1</t>
  </si>
  <si>
    <r>
      <t>*2</t>
    </r>
    <r>
      <rPr>
        <b/>
        <sz val="11"/>
        <rFont val="Calibri"/>
        <family val="2"/>
      </rPr>
      <t xml:space="preserve"> MVA-pliktig selskap (termin) </t>
    </r>
  </si>
  <si>
    <r>
      <t>*2</t>
    </r>
    <r>
      <rPr>
        <b/>
        <sz val="11"/>
        <rFont val="Calibri"/>
        <family val="2"/>
      </rPr>
      <t xml:space="preserve"> MVA-pliktig selskap (årstermin) </t>
    </r>
    <r>
      <rPr>
        <sz val="11"/>
        <rFont val="Calibri"/>
        <family val="2"/>
      </rPr>
      <t xml:space="preserve">– </t>
    </r>
    <r>
      <rPr>
        <i/>
        <sz val="11"/>
        <rFont val="Calibri"/>
        <family val="2"/>
      </rPr>
      <t>årlig pris </t>
    </r>
    <r>
      <rPr>
        <sz val="11"/>
        <rFont val="Calibri"/>
        <family val="2"/>
      </rPr>
      <t> </t>
    </r>
  </si>
  <si>
    <t>Innsending MVA-melding 1x årlig </t>
  </si>
  <si>
    <r>
      <t>*2</t>
    </r>
    <r>
      <rPr>
        <b/>
        <sz val="11"/>
        <rFont val="Calibri"/>
        <family val="2"/>
      </rPr>
      <t xml:space="preserve"> Lovpålagt kvalitetshandling</t>
    </r>
  </si>
  <si>
    <t>A-rutine </t>
  </si>
  <si>
    <t>Kundens interne rutiner </t>
  </si>
  <si>
    <t>Tredjepartsopplysninger, pr selskap </t>
  </si>
  <si>
    <t>Lovpålagt rapportering </t>
  </si>
  <si>
    <t>Risikobasert kontrolloppgave </t>
  </si>
  <si>
    <t>AML-kontroll (Hvitvasking) </t>
  </si>
  <si>
    <t>Overordnet internkontroll på oppdragsnivå </t>
  </si>
  <si>
    <t>Pliktig kontroller for regnskapsføreroppdrag </t>
  </si>
  <si>
    <r>
      <t>Skatteoppgjør, gjennomgang og kontroll</t>
    </r>
    <r>
      <rPr>
        <b/>
        <sz val="11"/>
        <rFont val="Calibri"/>
        <family val="2"/>
      </rPr>
      <t> </t>
    </r>
    <r>
      <rPr>
        <sz val="11"/>
        <rFont val="Calibr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</si>
</sst>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kr&quot;\ * #,##0.00_);_(&quot;kr&quot;\ * \(#,##0.00\);_(&quot;kr&quot;\ * &quot;-&quot;??_);_(@_)"/>
    <numFmt numFmtId="165" formatCode="_(* #,##0.00_);_(* \(#,##0.00\);_(* &quot;-&quot;??_);_(@_)"/>
    <numFmt numFmtId="166" formatCode="_(&quot;kr&quot;\ * #,##0_);_(&quot;kr&quot;\ * \(#,##0\);_(&quot;kr&quot;\ * &quot;-&quot;??_);_(@_)"/>
    <numFmt numFmtId="167" formatCode="0.0"/>
    <numFmt numFmtId="168" formatCode="_(* #,##0_);_(* \(#,##0\);_(* &quot;-&quot;??_);_(@_)"/>
  </numFmts>
  <fonts count="2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name val="Aptos Narrow"/>
      <scheme val="minor"/>
    </font>
    <font>
      <b/>
      <sz val="16"/>
      <color theme="1"/>
      <name val="Aptos Narrow"/>
      <scheme val="minor"/>
    </font>
    <font>
      <sz val="12"/>
      <name val="Aptos Narrow"/>
      <family val="2"/>
      <scheme val="minor"/>
    </font>
    <font>
      <sz val="12"/>
      <color rgb="FFFF0000"/>
      <name val="Aptos Narrow"/>
      <scheme val="minor"/>
    </font>
    <font>
      <b/>
      <sz val="20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Helvetica"/>
      <family val="2"/>
    </font>
    <font>
      <sz val="12"/>
      <color rgb="FF000000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1"/>
      <color rgb="FF000000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i/>
      <vertAlign val="superscript"/>
      <sz val="8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Times New Roman"/>
      <family val="1"/>
    </font>
    <font>
      <b/>
      <vertAlign val="superscript"/>
      <sz val="9.5"/>
      <name val="Calibri"/>
      <family val="2"/>
    </font>
    <font>
      <sz val="12"/>
      <name val="Calibri"/>
      <family val="2"/>
    </font>
    <font>
      <i/>
      <sz val="11"/>
      <name val="Calibri"/>
      <family val="2"/>
    </font>
    <font>
      <sz val="5"/>
      <name val="Calibri"/>
      <family val="2"/>
    </font>
    <font>
      <b/>
      <vertAlign val="superscript"/>
      <sz val="8.5"/>
      <name val="Calibri"/>
      <family val="2"/>
    </font>
    <font>
      <b/>
      <sz val="26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2" borderId="0" xfId="0" applyFill="1"/>
    <xf numFmtId="0" fontId="3" fillId="0" borderId="0" xfId="0" applyFont="1"/>
    <xf numFmtId="165" fontId="0" fillId="0" borderId="0" xfId="0" applyNumberFormat="1"/>
    <xf numFmtId="165" fontId="0" fillId="0" borderId="0" xfId="1" applyFont="1"/>
    <xf numFmtId="0" fontId="2" fillId="0" borderId="0" xfId="0" applyFont="1"/>
    <xf numFmtId="166" fontId="3" fillId="0" borderId="0" xfId="2" applyNumberFormat="1" applyFont="1"/>
    <xf numFmtId="165" fontId="3" fillId="0" borderId="0" xfId="0" applyNumberFormat="1" applyFont="1"/>
    <xf numFmtId="165" fontId="4" fillId="0" borderId="0" xfId="1" applyFont="1"/>
    <xf numFmtId="0" fontId="5" fillId="0" borderId="0" xfId="0" applyFont="1"/>
    <xf numFmtId="165" fontId="3" fillId="0" borderId="0" xfId="1" applyFont="1"/>
    <xf numFmtId="164" fontId="0" fillId="0" borderId="0" xfId="2" applyFont="1"/>
    <xf numFmtId="166" fontId="0" fillId="0" borderId="0" xfId="0" applyNumberFormat="1"/>
    <xf numFmtId="0" fontId="0" fillId="0" borderId="0" xfId="0" applyAlignment="1">
      <alignment horizontal="center"/>
    </xf>
    <xf numFmtId="0" fontId="3" fillId="6" borderId="0" xfId="0" applyFont="1" applyFill="1"/>
    <xf numFmtId="165" fontId="3" fillId="6" borderId="0" xfId="0" applyNumberFormat="1" applyFont="1" applyFill="1"/>
    <xf numFmtId="0" fontId="7" fillId="5" borderId="0" xfId="0" applyFont="1" applyFill="1"/>
    <xf numFmtId="165" fontId="2" fillId="0" borderId="0" xfId="0" applyNumberFormat="1" applyFont="1"/>
    <xf numFmtId="167" fontId="0" fillId="0" borderId="0" xfId="0" applyNumberFormat="1" applyAlignment="1">
      <alignment horizontal="center"/>
    </xf>
    <xf numFmtId="49" fontId="0" fillId="0" borderId="0" xfId="0" applyNumberFormat="1"/>
    <xf numFmtId="0" fontId="6" fillId="4" borderId="0" xfId="0" applyFont="1" applyFill="1"/>
    <xf numFmtId="165" fontId="6" fillId="4" borderId="0" xfId="1" applyFont="1" applyFill="1"/>
    <xf numFmtId="0" fontId="3" fillId="4" borderId="0" xfId="0" applyFont="1" applyFill="1"/>
    <xf numFmtId="165" fontId="3" fillId="4" borderId="0" xfId="1" applyFont="1" applyFill="1"/>
    <xf numFmtId="165" fontId="3" fillId="4" borderId="0" xfId="0" applyNumberFormat="1" applyFont="1" applyFill="1"/>
    <xf numFmtId="165" fontId="0" fillId="2" borderId="2" xfId="1" applyFont="1" applyFill="1" applyBorder="1"/>
    <xf numFmtId="49" fontId="0" fillId="2" borderId="0" xfId="0" applyNumberFormat="1" applyFill="1"/>
    <xf numFmtId="0" fontId="8" fillId="0" borderId="0" xfId="0" applyFont="1"/>
    <xf numFmtId="2" fontId="8" fillId="0" borderId="0" xfId="0" applyNumberFormat="1" applyFont="1"/>
    <xf numFmtId="165" fontId="8" fillId="0" borderId="0" xfId="0" applyNumberFormat="1" applyFont="1"/>
    <xf numFmtId="0" fontId="0" fillId="2" borderId="2" xfId="0" applyFill="1" applyBorder="1" applyAlignment="1">
      <alignment horizontal="center"/>
    </xf>
    <xf numFmtId="166" fontId="7" fillId="5" borderId="0" xfId="2" applyNumberFormat="1" applyFont="1" applyFill="1"/>
    <xf numFmtId="164" fontId="3" fillId="4" borderId="0" xfId="2" applyFont="1" applyFill="1"/>
    <xf numFmtId="0" fontId="9" fillId="0" borderId="0" xfId="0" applyFont="1"/>
    <xf numFmtId="165" fontId="9" fillId="0" borderId="0" xfId="0" applyNumberFormat="1" applyFont="1"/>
    <xf numFmtId="0" fontId="4" fillId="0" borderId="0" xfId="0" applyFont="1"/>
    <xf numFmtId="2" fontId="0" fillId="2" borderId="2" xfId="0" applyNumberFormat="1" applyFill="1" applyBorder="1" applyAlignment="1">
      <alignment horizontal="center"/>
    </xf>
    <xf numFmtId="0" fontId="7" fillId="0" borderId="0" xfId="0" applyFont="1"/>
    <xf numFmtId="0" fontId="3" fillId="0" borderId="3" xfId="0" applyFont="1" applyBorder="1"/>
    <xf numFmtId="0" fontId="3" fillId="0" borderId="4" xfId="0" applyFont="1" applyBorder="1"/>
    <xf numFmtId="0" fontId="0" fillId="0" borderId="6" xfId="0" applyBorder="1"/>
    <xf numFmtId="165" fontId="0" fillId="0" borderId="0" xfId="1" applyFont="1" applyBorder="1"/>
    <xf numFmtId="0" fontId="0" fillId="0" borderId="7" xfId="0" applyBorder="1"/>
    <xf numFmtId="0" fontId="0" fillId="2" borderId="6" xfId="0" applyFill="1" applyBorder="1"/>
    <xf numFmtId="165" fontId="0" fillId="2" borderId="0" xfId="1" applyFont="1" applyFill="1" applyBorder="1"/>
    <xf numFmtId="0" fontId="0" fillId="2" borderId="7" xfId="0" applyFill="1" applyBorder="1"/>
    <xf numFmtId="0" fontId="4" fillId="0" borderId="6" xfId="0" applyFont="1" applyBorder="1"/>
    <xf numFmtId="0" fontId="4" fillId="0" borderId="8" xfId="0" applyFont="1" applyBorder="1"/>
    <xf numFmtId="49" fontId="0" fillId="0" borderId="1" xfId="0" applyNumberFormat="1" applyBorder="1"/>
    <xf numFmtId="165" fontId="0" fillId="0" borderId="1" xfId="1" applyFont="1" applyBorder="1"/>
    <xf numFmtId="0" fontId="0" fillId="0" borderId="9" xfId="0" applyBorder="1"/>
    <xf numFmtId="0" fontId="0" fillId="3" borderId="0" xfId="0" applyFill="1"/>
    <xf numFmtId="2" fontId="3" fillId="0" borderId="0" xfId="0" applyNumberFormat="1" applyFont="1"/>
    <xf numFmtId="0" fontId="10" fillId="5" borderId="0" xfId="0" applyFont="1" applyFill="1"/>
    <xf numFmtId="0" fontId="7" fillId="5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5" fontId="4" fillId="0" borderId="0" xfId="0" applyNumberFormat="1" applyFont="1"/>
    <xf numFmtId="166" fontId="0" fillId="0" borderId="0" xfId="2" applyNumberFormat="1" applyFont="1"/>
    <xf numFmtId="166" fontId="6" fillId="4" borderId="0" xfId="2" applyNumberFormat="1" applyFont="1" applyFill="1"/>
    <xf numFmtId="166" fontId="0" fillId="3" borderId="0" xfId="2" applyNumberFormat="1" applyFont="1" applyFill="1"/>
    <xf numFmtId="0" fontId="3" fillId="3" borderId="0" xfId="0" applyFont="1" applyFill="1"/>
    <xf numFmtId="166" fontId="4" fillId="3" borderId="0" xfId="2" applyNumberFormat="1" applyFont="1" applyFill="1"/>
    <xf numFmtId="0" fontId="4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5" fontId="0" fillId="2" borderId="0" xfId="1" applyFont="1" applyFill="1" applyAlignment="1">
      <alignment horizontal="center"/>
    </xf>
    <xf numFmtId="0" fontId="11" fillId="0" borderId="0" xfId="0" applyFont="1"/>
    <xf numFmtId="0" fontId="8" fillId="3" borderId="0" xfId="0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166" fontId="0" fillId="3" borderId="0" xfId="0" applyNumberFormat="1" applyFill="1"/>
    <xf numFmtId="165" fontId="0" fillId="3" borderId="0" xfId="0" applyNumberFormat="1" applyFill="1"/>
    <xf numFmtId="168" fontId="3" fillId="4" borderId="0" xfId="0" applyNumberFormat="1" applyFont="1" applyFill="1"/>
    <xf numFmtId="0" fontId="2" fillId="0" borderId="14" xfId="0" applyFont="1" applyBorder="1"/>
    <xf numFmtId="164" fontId="2" fillId="0" borderId="15" xfId="2" applyFont="1" applyBorder="1"/>
    <xf numFmtId="164" fontId="2" fillId="0" borderId="15" xfId="0" applyNumberFormat="1" applyFont="1" applyBorder="1"/>
    <xf numFmtId="0" fontId="2" fillId="0" borderId="15" xfId="0" applyFont="1" applyBorder="1"/>
    <xf numFmtId="0" fontId="0" fillId="0" borderId="16" xfId="0" applyBorder="1"/>
    <xf numFmtId="166" fontId="3" fillId="4" borderId="0" xfId="0" applyNumberFormat="1" applyFont="1" applyFill="1"/>
    <xf numFmtId="165" fontId="3" fillId="2" borderId="2" xfId="1" applyFont="1" applyFill="1" applyBorder="1"/>
    <xf numFmtId="0" fontId="12" fillId="0" borderId="0" xfId="0" applyFont="1"/>
    <xf numFmtId="0" fontId="13" fillId="0" borderId="7" xfId="0" applyFont="1" applyBorder="1"/>
    <xf numFmtId="165" fontId="0" fillId="3" borderId="0" xfId="1" applyFont="1" applyFill="1"/>
    <xf numFmtId="0" fontId="14" fillId="0" borderId="0" xfId="0" applyFont="1"/>
    <xf numFmtId="0" fontId="14" fillId="3" borderId="0" xfId="0" applyFont="1" applyFill="1"/>
    <xf numFmtId="168" fontId="0" fillId="0" borderId="0" xfId="1" applyNumberFormat="1" applyFont="1"/>
    <xf numFmtId="0" fontId="16" fillId="0" borderId="0" xfId="0" applyFont="1"/>
    <xf numFmtId="168" fontId="15" fillId="0" borderId="0" xfId="1" applyNumberFormat="1" applyFont="1"/>
    <xf numFmtId="0" fontId="17" fillId="0" borderId="0" xfId="0" applyFont="1"/>
    <xf numFmtId="0" fontId="20" fillId="0" borderId="0" xfId="0" applyFont="1"/>
    <xf numFmtId="0" fontId="21" fillId="0" borderId="0" xfId="0" applyFont="1"/>
    <xf numFmtId="168" fontId="0" fillId="0" borderId="0" xfId="1" quotePrefix="1" applyNumberFormat="1" applyFont="1"/>
    <xf numFmtId="0" fontId="22" fillId="3" borderId="0" xfId="0" applyFont="1" applyFill="1"/>
    <xf numFmtId="168" fontId="0" fillId="3" borderId="0" xfId="1" applyNumberFormat="1" applyFont="1" applyFill="1"/>
    <xf numFmtId="168" fontId="0" fillId="3" borderId="7" xfId="1" applyNumberFormat="1" applyFont="1" applyFill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1" fillId="0" borderId="0" xfId="0" applyFont="1" applyAlignment="1">
      <alignment horizontal="right"/>
    </xf>
    <xf numFmtId="168" fontId="0" fillId="0" borderId="7" xfId="1" applyNumberFormat="1" applyFont="1" applyFill="1" applyBorder="1"/>
    <xf numFmtId="168" fontId="15" fillId="0" borderId="7" xfId="1" applyNumberFormat="1" applyFont="1" applyFill="1" applyBorder="1"/>
    <xf numFmtId="168" fontId="0" fillId="0" borderId="7" xfId="1" quotePrefix="1" applyNumberFormat="1" applyFont="1" applyFill="1" applyBorder="1"/>
    <xf numFmtId="0" fontId="28" fillId="0" borderId="0" xfId="0" applyFont="1"/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Komma" xfId="1" builtinId="3"/>
    <cellStyle name="Normal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yrita Halvorsrud" id="{3EC779DB-9095-A04E-BEFD-835F3979A4FB}" userId="S::mayrita@onac.no::3ad7754e-7eae-4288-9a08-f6caab2fde44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" dT="2025-11-25T14:02:32.59" personId="{3EC779DB-9095-A04E-BEFD-835F3979A4FB}" id="{156C3628-3314-224D-9B6E-FEC878F315A6}">
    <text>Se taball "timebruk ansatte" for å se antall ansatte i selskapet. Se så videre timebruk som forventes skal på løpe. 
Eks: er det 6 ansatte, skal det skrives inn 1,5,t i dette feltet</text>
  </threadedComment>
  <threadedComment ref="C44" dT="2025-11-25T14:06:57.03" personId="{3EC779DB-9095-A04E-BEFD-835F3979A4FB}" id="{B72D2D81-F521-834D-A778-AD0F9B1C7D6D}">
    <text>Se taball "timebruk ansatte" for å se antall ansatte i selskapet. Se så videre under kolonne "Avstemming lønnsområde" og timebruk som forventes skal på løpe. 
Eks: er det 6 ansatte, skal det skrives inn 1,5,t i dette feltet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3" dT="2025-11-25T14:02:32.59" personId="{3EC779DB-9095-A04E-BEFD-835F3979A4FB}" id="{35C567AF-4AC6-41CC-94A7-2874424A1477}">
    <text>Se taball "timebruk ansatte" for å se antall ansatte i selskapet. Se så videre timebruk som forventes skal på løpe. 
Eks: er det 6 ansatte, skal det skrives inn 1,5,t i dette feltet</text>
  </threadedComment>
  <threadedComment ref="C44" dT="2025-11-25T14:06:57.03" personId="{3EC779DB-9095-A04E-BEFD-835F3979A4FB}" id="{EFDF6C09-A5A6-4156-88EE-AD3C9542E07B}">
    <text>Se taball "timebruk ansatte" for å se antall ansatte i selskapet. Se så videre under kolonne "Avstemming lønnsområde" og timebruk som forventes skal på løpe. 
Eks: er det 6 ansatte, skal det skrives inn 1,5,t i dette feltet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6017-1FDB-6A42-BB66-92FF4B46556B}">
  <dimension ref="A2:O113"/>
  <sheetViews>
    <sheetView tabSelected="1" topLeftCell="A51" workbookViewId="0">
      <selection activeCell="J76" sqref="J76"/>
    </sheetView>
  </sheetViews>
  <sheetFormatPr defaultColWidth="11" defaultRowHeight="15.95"/>
  <cols>
    <col min="2" max="2" width="30" customWidth="1"/>
    <col min="3" max="3" width="22.875" customWidth="1"/>
    <col min="4" max="4" width="19.375" customWidth="1"/>
    <col min="5" max="5" width="17.625" customWidth="1"/>
    <col min="6" max="6" width="13.125" customWidth="1"/>
    <col min="7" max="7" width="16.125" customWidth="1"/>
    <col min="8" max="8" width="12.375" customWidth="1"/>
    <col min="11" max="11" width="6.375" customWidth="1"/>
    <col min="12" max="12" width="11.375" bestFit="1" customWidth="1"/>
    <col min="13" max="13" width="17.375" customWidth="1"/>
    <col min="14" max="14" width="13.5" bestFit="1" customWidth="1"/>
    <col min="15" max="15" width="16.875" customWidth="1"/>
  </cols>
  <sheetData>
    <row r="2" spans="1:15" s="84" customFormat="1" ht="32.1">
      <c r="A2" s="83"/>
      <c r="B2" s="84" t="s">
        <v>0</v>
      </c>
      <c r="C2" s="84" t="s">
        <v>1</v>
      </c>
    </row>
    <row r="3" spans="1:15">
      <c r="G3" s="1" t="s">
        <v>2</v>
      </c>
    </row>
    <row r="5" spans="1:15">
      <c r="B5" s="106" t="s">
        <v>3</v>
      </c>
      <c r="C5" s="106"/>
    </row>
    <row r="6" spans="1:15">
      <c r="B6" t="s">
        <v>4</v>
      </c>
      <c r="C6" s="55">
        <v>0</v>
      </c>
    </row>
    <row r="7" spans="1:15">
      <c r="B7" t="s">
        <v>5</v>
      </c>
      <c r="C7" s="56">
        <v>5</v>
      </c>
    </row>
    <row r="8" spans="1:15">
      <c r="B8" t="s">
        <v>6</v>
      </c>
      <c r="C8" s="56" t="s">
        <v>7</v>
      </c>
    </row>
    <row r="11" spans="1:15" s="16" customFormat="1" ht="27">
      <c r="A11" s="37"/>
      <c r="B11" s="53" t="s">
        <v>8</v>
      </c>
      <c r="C11" s="16" t="s">
        <v>4</v>
      </c>
      <c r="D11" s="54">
        <f>C6</f>
        <v>0</v>
      </c>
      <c r="F11" s="16" t="s">
        <v>9</v>
      </c>
      <c r="G11" s="31">
        <v>1140</v>
      </c>
    </row>
    <row r="15" spans="1:15" s="2" customFormat="1" ht="21.95">
      <c r="B15" s="37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J15" s="103" t="s">
        <v>16</v>
      </c>
      <c r="K15" s="104"/>
      <c r="L15" s="104"/>
      <c r="M15" s="104"/>
      <c r="N15" s="104"/>
      <c r="O15" s="105"/>
    </row>
    <row r="16" spans="1:15">
      <c r="B16" t="s">
        <v>17</v>
      </c>
      <c r="C16" s="13" t="s">
        <v>18</v>
      </c>
      <c r="D16" s="13">
        <v>12</v>
      </c>
      <c r="E16" s="4">
        <v>450</v>
      </c>
      <c r="F16" s="4">
        <f>E16*12</f>
        <v>5400</v>
      </c>
      <c r="G16" s="4">
        <f>F16/12</f>
        <v>450</v>
      </c>
      <c r="J16" s="103" t="s">
        <v>19</v>
      </c>
      <c r="K16" s="105"/>
      <c r="L16" s="109" t="s">
        <v>20</v>
      </c>
      <c r="M16" s="109"/>
      <c r="N16" s="109" t="s">
        <v>21</v>
      </c>
      <c r="O16" s="109"/>
    </row>
    <row r="17" spans="2:15">
      <c r="B17" t="s">
        <v>22</v>
      </c>
      <c r="C17" s="13" t="s">
        <v>18</v>
      </c>
      <c r="D17" s="13">
        <v>6</v>
      </c>
      <c r="E17" s="4">
        <v>450</v>
      </c>
      <c r="F17" s="4">
        <f>E17*12</f>
        <v>5400</v>
      </c>
      <c r="G17" s="4">
        <f>F17/12</f>
        <v>450</v>
      </c>
      <c r="J17" s="38" t="s">
        <v>23</v>
      </c>
      <c r="K17" s="39" t="s">
        <v>24</v>
      </c>
      <c r="L17" s="107" t="s">
        <v>25</v>
      </c>
      <c r="M17" s="108"/>
      <c r="N17" s="107" t="s">
        <v>25</v>
      </c>
      <c r="O17" s="108"/>
    </row>
    <row r="18" spans="2:15">
      <c r="B18" t="s">
        <v>26</v>
      </c>
      <c r="C18" s="13" t="s">
        <v>18</v>
      </c>
      <c r="D18" s="13">
        <v>1</v>
      </c>
      <c r="E18" s="4">
        <v>50</v>
      </c>
      <c r="F18" s="4">
        <f>E18*12</f>
        <v>600</v>
      </c>
      <c r="G18" s="4">
        <f>F18/12</f>
        <v>50</v>
      </c>
      <c r="J18" s="40" t="s">
        <v>23</v>
      </c>
      <c r="K18" s="19" t="s">
        <v>27</v>
      </c>
      <c r="L18" s="41">
        <v>0.5</v>
      </c>
      <c r="M18" s="42" t="s">
        <v>28</v>
      </c>
      <c r="N18" s="41">
        <v>1.5</v>
      </c>
      <c r="O18" s="42" t="s">
        <v>29</v>
      </c>
    </row>
    <row r="19" spans="2:15" s="9" customFormat="1" ht="17.100000000000001" customHeight="1">
      <c r="B19" s="20" t="s">
        <v>10</v>
      </c>
      <c r="C19" s="20"/>
      <c r="D19" s="20"/>
      <c r="E19" s="21">
        <f>SUM(E16:E18)</f>
        <v>950</v>
      </c>
      <c r="F19" s="21">
        <f>SUM(F16:F18)</f>
        <v>11400</v>
      </c>
      <c r="G19" s="21">
        <f>SUM(G16:G18)</f>
        <v>950</v>
      </c>
      <c r="J19" s="40" t="s">
        <v>23</v>
      </c>
      <c r="K19" s="19" t="s">
        <v>30</v>
      </c>
      <c r="L19" s="41">
        <v>1</v>
      </c>
      <c r="M19" s="42" t="s">
        <v>28</v>
      </c>
      <c r="N19" s="41">
        <v>1.5</v>
      </c>
      <c r="O19" s="42" t="s">
        <v>29</v>
      </c>
    </row>
    <row r="20" spans="2:15">
      <c r="J20" s="43" t="s">
        <v>23</v>
      </c>
      <c r="K20" s="26" t="s">
        <v>31</v>
      </c>
      <c r="L20" s="44">
        <v>1.5</v>
      </c>
      <c r="M20" s="45" t="s">
        <v>28</v>
      </c>
      <c r="N20" s="44">
        <v>1.5</v>
      </c>
      <c r="O20" s="45" t="s">
        <v>29</v>
      </c>
    </row>
    <row r="21" spans="2:15">
      <c r="F21" s="7"/>
      <c r="J21" s="40" t="s">
        <v>23</v>
      </c>
      <c r="K21" s="19" t="s">
        <v>32</v>
      </c>
      <c r="L21" s="41">
        <v>2</v>
      </c>
      <c r="M21" s="42" t="s">
        <v>28</v>
      </c>
      <c r="N21" s="41">
        <v>2</v>
      </c>
      <c r="O21" s="81" t="s">
        <v>29</v>
      </c>
    </row>
    <row r="22" spans="2:15" ht="21.95">
      <c r="B22" s="37" t="s">
        <v>33</v>
      </c>
      <c r="C22" s="2" t="s">
        <v>4</v>
      </c>
      <c r="D22" s="2" t="s">
        <v>34</v>
      </c>
      <c r="E22" s="2" t="s">
        <v>9</v>
      </c>
      <c r="F22" s="2" t="s">
        <v>14</v>
      </c>
      <c r="G22" s="2" t="s">
        <v>15</v>
      </c>
      <c r="J22" s="46" t="s">
        <v>23</v>
      </c>
      <c r="K22" s="19" t="s">
        <v>35</v>
      </c>
      <c r="L22" s="41">
        <v>2.5</v>
      </c>
      <c r="M22" s="42" t="s">
        <v>28</v>
      </c>
      <c r="N22" s="41">
        <v>2</v>
      </c>
      <c r="O22" s="81" t="s">
        <v>29</v>
      </c>
    </row>
    <row r="23" spans="2:15">
      <c r="B23" t="s">
        <v>36</v>
      </c>
      <c r="C23" s="13">
        <f>D11</f>
        <v>0</v>
      </c>
      <c r="D23" s="36">
        <v>0</v>
      </c>
      <c r="E23" s="12">
        <f>G11</f>
        <v>1140</v>
      </c>
      <c r="F23" s="11">
        <f>G23*12</f>
        <v>0</v>
      </c>
      <c r="G23" s="11">
        <f>D23*E23</f>
        <v>0</v>
      </c>
      <c r="J23" s="46" t="s">
        <v>23</v>
      </c>
      <c r="K23" s="19" t="s">
        <v>37</v>
      </c>
      <c r="L23" s="41">
        <v>3</v>
      </c>
      <c r="M23" s="42" t="s">
        <v>28</v>
      </c>
      <c r="N23" s="41">
        <v>2.5</v>
      </c>
      <c r="O23" s="81" t="s">
        <v>29</v>
      </c>
    </row>
    <row r="24" spans="2:15">
      <c r="B24" s="22" t="s">
        <v>38</v>
      </c>
      <c r="C24" s="22"/>
      <c r="D24" s="22"/>
      <c r="E24" s="22"/>
      <c r="F24" s="32">
        <f>SUM(F21:F23)</f>
        <v>0</v>
      </c>
      <c r="G24" s="32">
        <f>G23</f>
        <v>0</v>
      </c>
      <c r="J24" s="46" t="s">
        <v>23</v>
      </c>
      <c r="K24" s="19" t="s">
        <v>39</v>
      </c>
      <c r="L24" s="41">
        <v>4</v>
      </c>
      <c r="M24" s="42" t="s">
        <v>28</v>
      </c>
      <c r="N24" s="41">
        <v>2.5</v>
      </c>
      <c r="O24" s="81" t="s">
        <v>29</v>
      </c>
    </row>
    <row r="25" spans="2:15">
      <c r="E25" s="3"/>
      <c r="J25" s="47" t="s">
        <v>23</v>
      </c>
      <c r="K25" s="48" t="s">
        <v>40</v>
      </c>
      <c r="L25" s="49">
        <v>4.5</v>
      </c>
      <c r="M25" s="50" t="s">
        <v>28</v>
      </c>
      <c r="N25" s="49">
        <v>2.5</v>
      </c>
      <c r="O25" s="50" t="s">
        <v>29</v>
      </c>
    </row>
    <row r="26" spans="2:15">
      <c r="E26" s="3"/>
      <c r="J26" s="35"/>
      <c r="K26" s="19"/>
      <c r="L26" s="4"/>
    </row>
    <row r="27" spans="2:15" ht="21.95">
      <c r="B27" s="37" t="s">
        <v>41</v>
      </c>
      <c r="C27" s="2" t="s">
        <v>42</v>
      </c>
      <c r="D27" s="2"/>
      <c r="E27" s="2" t="s">
        <v>43</v>
      </c>
      <c r="F27" s="2" t="s">
        <v>14</v>
      </c>
      <c r="G27" s="2" t="s">
        <v>15</v>
      </c>
    </row>
    <row r="28" spans="2:15">
      <c r="B28" t="s">
        <v>44</v>
      </c>
      <c r="C28" s="30"/>
      <c r="D28" s="51"/>
      <c r="E28" s="25"/>
      <c r="F28" s="4">
        <f>G28*12</f>
        <v>0</v>
      </c>
      <c r="G28" s="4">
        <f>C28*E28</f>
        <v>0</v>
      </c>
    </row>
    <row r="29" spans="2:15">
      <c r="B29" t="s">
        <v>45</v>
      </c>
      <c r="C29" s="30"/>
      <c r="D29" s="51"/>
      <c r="E29" s="25"/>
      <c r="F29" s="4">
        <f t="shared" ref="F29:F34" si="0">G29*12</f>
        <v>0</v>
      </c>
      <c r="G29" s="4">
        <f t="shared" ref="G29:G34" si="1">C29*E29</f>
        <v>0</v>
      </c>
    </row>
    <row r="30" spans="2:15">
      <c r="B30" t="s">
        <v>46</v>
      </c>
      <c r="C30" s="30"/>
      <c r="D30" s="51"/>
      <c r="E30" s="25"/>
      <c r="F30" s="4">
        <f t="shared" si="0"/>
        <v>0</v>
      </c>
      <c r="G30" s="4">
        <f t="shared" si="1"/>
        <v>0</v>
      </c>
    </row>
    <row r="31" spans="2:15">
      <c r="B31" t="s">
        <v>47</v>
      </c>
      <c r="C31" s="30"/>
      <c r="D31" s="51"/>
      <c r="E31" s="25"/>
      <c r="F31" s="4">
        <f t="shared" si="0"/>
        <v>0</v>
      </c>
      <c r="G31" s="4">
        <f t="shared" si="1"/>
        <v>0</v>
      </c>
    </row>
    <row r="32" spans="2:15">
      <c r="B32" t="s">
        <v>47</v>
      </c>
      <c r="C32" s="30"/>
      <c r="D32" s="51"/>
      <c r="E32" s="25"/>
      <c r="F32" s="4">
        <f t="shared" si="0"/>
        <v>0</v>
      </c>
      <c r="G32" s="4">
        <f t="shared" si="1"/>
        <v>0</v>
      </c>
    </row>
    <row r="33" spans="2:13">
      <c r="B33" t="s">
        <v>47</v>
      </c>
      <c r="C33" s="30"/>
      <c r="D33" s="51"/>
      <c r="E33" s="25"/>
      <c r="F33" s="4">
        <f t="shared" si="0"/>
        <v>0</v>
      </c>
      <c r="G33" s="4">
        <f t="shared" si="1"/>
        <v>0</v>
      </c>
      <c r="J33" s="80"/>
    </row>
    <row r="34" spans="2:13">
      <c r="B34" t="s">
        <v>47</v>
      </c>
      <c r="C34" s="30"/>
      <c r="D34" s="51"/>
      <c r="E34" s="25"/>
      <c r="F34" s="4">
        <f t="shared" si="0"/>
        <v>0</v>
      </c>
      <c r="G34" s="4">
        <f t="shared" si="1"/>
        <v>0</v>
      </c>
      <c r="J34" s="80"/>
    </row>
    <row r="35" spans="2:13">
      <c r="B35" s="20" t="s">
        <v>48</v>
      </c>
      <c r="C35" s="20"/>
      <c r="D35" s="20"/>
      <c r="E35" s="21"/>
      <c r="F35" s="21">
        <f>SUM(F28:F34)</f>
        <v>0</v>
      </c>
      <c r="G35" s="21">
        <f>SUM(G28:G34)</f>
        <v>0</v>
      </c>
    </row>
    <row r="38" spans="2:13" s="2" customFormat="1" ht="21.95">
      <c r="B38" s="37" t="s">
        <v>21</v>
      </c>
      <c r="C38" s="2" t="s">
        <v>49</v>
      </c>
      <c r="D38" s="2" t="s">
        <v>50</v>
      </c>
      <c r="E38" s="2" t="s">
        <v>51</v>
      </c>
      <c r="F38" s="2" t="s">
        <v>52</v>
      </c>
      <c r="G38" s="2" t="s">
        <v>14</v>
      </c>
      <c r="H38" s="2" t="s">
        <v>53</v>
      </c>
      <c r="J38"/>
      <c r="K38"/>
      <c r="L38" s="6"/>
    </row>
    <row r="39" spans="2:13">
      <c r="B39" t="s">
        <v>54</v>
      </c>
      <c r="C39" s="82"/>
      <c r="D39" s="82"/>
      <c r="E39" s="82"/>
      <c r="F39" s="70"/>
      <c r="G39" s="71"/>
      <c r="H39" s="82"/>
      <c r="J39" s="33"/>
      <c r="K39" s="33"/>
      <c r="L39" s="12"/>
    </row>
    <row r="40" spans="2:13">
      <c r="B40" t="s">
        <v>55</v>
      </c>
      <c r="C40" s="82"/>
      <c r="D40" s="82"/>
      <c r="E40" s="82"/>
      <c r="F40" s="70"/>
      <c r="G40" s="71"/>
      <c r="H40" s="82"/>
      <c r="L40" s="12"/>
    </row>
    <row r="41" spans="2:13">
      <c r="B41" t="s">
        <v>56</v>
      </c>
      <c r="C41" s="82"/>
      <c r="D41" s="82"/>
      <c r="E41" s="82"/>
      <c r="F41" s="70"/>
      <c r="G41" s="71"/>
      <c r="H41" s="82"/>
      <c r="L41" s="12"/>
    </row>
    <row r="42" spans="2:13">
      <c r="B42" t="s">
        <v>57</v>
      </c>
      <c r="C42" s="82"/>
      <c r="D42" s="82"/>
      <c r="E42" s="82"/>
      <c r="F42" s="70"/>
      <c r="G42" s="71"/>
      <c r="H42" s="82"/>
      <c r="L42" s="12"/>
    </row>
    <row r="43" spans="2:13">
      <c r="C43" s="4"/>
      <c r="D43" s="4"/>
      <c r="E43" s="4"/>
      <c r="F43" s="12"/>
      <c r="G43" s="3"/>
      <c r="H43" s="4"/>
      <c r="L43" s="12"/>
    </row>
    <row r="44" spans="2:13">
      <c r="B44" s="22" t="s">
        <v>21</v>
      </c>
      <c r="C44" s="79">
        <v>0</v>
      </c>
      <c r="D44" s="23">
        <f>C44/2</f>
        <v>0</v>
      </c>
      <c r="E44" s="23">
        <f>D44*12</f>
        <v>0</v>
      </c>
      <c r="F44" s="78">
        <f>$G$11</f>
        <v>1140</v>
      </c>
      <c r="G44" s="24">
        <f>E44*F44</f>
        <v>0</v>
      </c>
      <c r="H44" s="23">
        <f>G44/12</f>
        <v>0</v>
      </c>
    </row>
    <row r="45" spans="2:13">
      <c r="J45" s="33"/>
      <c r="K45" s="33"/>
      <c r="L45" s="33"/>
      <c r="M45" s="33"/>
    </row>
    <row r="46" spans="2:13" s="33" customFormat="1">
      <c r="E46" s="34"/>
      <c r="G46" s="33">
        <v>1</v>
      </c>
    </row>
    <row r="47" spans="2:13">
      <c r="C47" s="2"/>
      <c r="E47" s="3"/>
    </row>
    <row r="48" spans="2:13" ht="21.95">
      <c r="B48" s="68" t="s">
        <v>58</v>
      </c>
      <c r="C48" s="69" t="s">
        <v>53</v>
      </c>
      <c r="D48" s="69" t="s">
        <v>59</v>
      </c>
    </row>
    <row r="49" spans="1:9">
      <c r="B49" t="s">
        <v>33</v>
      </c>
      <c r="C49" s="8">
        <f>G24</f>
        <v>0</v>
      </c>
      <c r="D49" s="8">
        <f>C49*12</f>
        <v>0</v>
      </c>
      <c r="E49" s="52"/>
      <c r="F49" s="3"/>
    </row>
    <row r="50" spans="1:9">
      <c r="B50" t="s">
        <v>21</v>
      </c>
      <c r="C50" s="8">
        <f>H44</f>
        <v>0</v>
      </c>
      <c r="D50" s="8">
        <f>C50*12</f>
        <v>0</v>
      </c>
      <c r="E50" s="7"/>
      <c r="F50" s="3"/>
    </row>
    <row r="51" spans="1:9">
      <c r="B51" t="s">
        <v>41</v>
      </c>
      <c r="C51" s="8">
        <f>G35</f>
        <v>0</v>
      </c>
      <c r="D51" s="8">
        <f>C51*12</f>
        <v>0</v>
      </c>
      <c r="E51" s="2"/>
      <c r="F51" s="3"/>
    </row>
    <row r="52" spans="1:9">
      <c r="B52" t="s">
        <v>10</v>
      </c>
      <c r="C52" s="8"/>
      <c r="D52" s="8">
        <f>C52*12</f>
        <v>0</v>
      </c>
      <c r="E52" s="2"/>
      <c r="F52" s="3"/>
    </row>
    <row r="53" spans="1:9">
      <c r="B53" s="14" t="s">
        <v>60</v>
      </c>
      <c r="C53" s="15">
        <f>SUM(C49:C52)</f>
        <v>0</v>
      </c>
      <c r="D53" s="15">
        <f>SUM(D49:D52)</f>
        <v>0</v>
      </c>
      <c r="E53" s="17"/>
      <c r="F53" s="17"/>
    </row>
    <row r="55" spans="1:9">
      <c r="B55" s="51"/>
      <c r="C55" s="61" t="s">
        <v>9</v>
      </c>
      <c r="D55" s="61" t="s">
        <v>61</v>
      </c>
      <c r="E55" s="61" t="s">
        <v>62</v>
      </c>
      <c r="F55" s="61" t="s">
        <v>63</v>
      </c>
    </row>
    <row r="56" spans="1:9">
      <c r="B56" s="61" t="s">
        <v>64</v>
      </c>
      <c r="C56" s="70">
        <f>G11</f>
        <v>1140</v>
      </c>
      <c r="D56" s="71">
        <f>(C49+C50+C51)/C56</f>
        <v>0</v>
      </c>
      <c r="E56" s="71">
        <f>D56*2</f>
        <v>0</v>
      </c>
      <c r="F56" s="71">
        <f>(D49+D50+D51)/C56</f>
        <v>0</v>
      </c>
    </row>
    <row r="59" spans="1:9" s="16" customFormat="1" ht="27">
      <c r="A59" s="37"/>
      <c r="B59" s="53" t="s">
        <v>65</v>
      </c>
      <c r="C59" s="16" t="s">
        <v>66</v>
      </c>
      <c r="D59" s="16">
        <v>53</v>
      </c>
      <c r="F59" s="16" t="s">
        <v>9</v>
      </c>
      <c r="G59" s="31">
        <v>970</v>
      </c>
    </row>
    <row r="61" spans="1:9" ht="21.95">
      <c r="B61" s="37" t="s">
        <v>67</v>
      </c>
      <c r="C61" s="2" t="s">
        <v>68</v>
      </c>
      <c r="D61" s="2" t="s">
        <v>69</v>
      </c>
      <c r="E61" s="2" t="s">
        <v>70</v>
      </c>
      <c r="F61" s="2" t="s">
        <v>11</v>
      </c>
      <c r="G61" s="2" t="s">
        <v>9</v>
      </c>
      <c r="H61" s="2" t="s">
        <v>71</v>
      </c>
      <c r="I61" s="2" t="s">
        <v>72</v>
      </c>
    </row>
    <row r="62" spans="1:9">
      <c r="B62" t="s">
        <v>73</v>
      </c>
      <c r="C62" s="13">
        <f>D59</f>
        <v>53</v>
      </c>
      <c r="D62" s="13">
        <f>C62/12</f>
        <v>4.416666666666667</v>
      </c>
      <c r="E62" s="65">
        <v>2</v>
      </c>
      <c r="F62" s="13">
        <f>(D62*E62)/60</f>
        <v>0.14722222222222223</v>
      </c>
      <c r="G62" s="58">
        <v>970</v>
      </c>
      <c r="H62" s="12">
        <f>I62*12</f>
        <v>1713.666666666667</v>
      </c>
      <c r="I62" s="12">
        <f>F62*G62</f>
        <v>142.80555555555557</v>
      </c>
    </row>
    <row r="63" spans="1:9">
      <c r="B63" s="66" t="s">
        <v>74</v>
      </c>
    </row>
    <row r="66" spans="2:15" ht="21.95">
      <c r="B66" s="37" t="s">
        <v>19</v>
      </c>
      <c r="C66" s="2" t="s">
        <v>75</v>
      </c>
      <c r="D66" s="2" t="s">
        <v>76</v>
      </c>
      <c r="E66" s="2" t="s">
        <v>13</v>
      </c>
      <c r="F66" s="2" t="s">
        <v>71</v>
      </c>
      <c r="G66" s="2" t="s">
        <v>72</v>
      </c>
    </row>
    <row r="67" spans="2:15">
      <c r="B67" s="27" t="s">
        <v>77</v>
      </c>
      <c r="C67" s="67"/>
      <c r="D67" s="30"/>
      <c r="E67" s="60">
        <v>1600</v>
      </c>
      <c r="F67" s="12">
        <f>G67*12</f>
        <v>0</v>
      </c>
      <c r="G67" s="11">
        <f>E67*D67</f>
        <v>0</v>
      </c>
    </row>
    <row r="68" spans="2:15">
      <c r="B68" s="2"/>
      <c r="C68" s="2"/>
      <c r="D68" s="2"/>
      <c r="E68" s="2"/>
      <c r="F68" s="2"/>
      <c r="G68" s="2"/>
    </row>
    <row r="69" spans="2:15">
      <c r="B69" t="s">
        <v>78</v>
      </c>
      <c r="C69" s="30"/>
      <c r="D69" s="51"/>
      <c r="E69" s="60">
        <v>5400</v>
      </c>
      <c r="F69" s="12">
        <f>C69*E69</f>
        <v>0</v>
      </c>
      <c r="G69" s="11">
        <f>F69/12</f>
        <v>0</v>
      </c>
    </row>
    <row r="70" spans="2:15">
      <c r="B70" t="s">
        <v>79</v>
      </c>
      <c r="C70" s="30"/>
      <c r="D70" s="51"/>
      <c r="E70" s="60">
        <v>1100</v>
      </c>
      <c r="F70" s="12">
        <f>C70*E70</f>
        <v>0</v>
      </c>
      <c r="G70" s="11">
        <f>F70/12</f>
        <v>0</v>
      </c>
    </row>
    <row r="71" spans="2:15">
      <c r="B71" s="2"/>
      <c r="C71" s="2"/>
      <c r="D71" s="2"/>
    </row>
    <row r="72" spans="2:15">
      <c r="B72" t="s">
        <v>80</v>
      </c>
      <c r="C72" s="30">
        <v>1</v>
      </c>
      <c r="D72" s="51"/>
      <c r="E72" s="60">
        <v>10500</v>
      </c>
      <c r="F72" s="12">
        <f>C72*E72</f>
        <v>10500</v>
      </c>
      <c r="G72" s="11">
        <f>F72/12</f>
        <v>875</v>
      </c>
    </row>
    <row r="73" spans="2:15">
      <c r="B73" t="s">
        <v>81</v>
      </c>
      <c r="C73" s="30"/>
      <c r="D73" s="51"/>
      <c r="E73" s="60">
        <v>8500</v>
      </c>
      <c r="F73" s="12">
        <f>C73*E73</f>
        <v>0</v>
      </c>
      <c r="G73" s="11">
        <f>F73/12</f>
        <v>0</v>
      </c>
    </row>
    <row r="74" spans="2:15">
      <c r="B74" t="s">
        <v>82</v>
      </c>
      <c r="C74" s="30"/>
      <c r="D74" s="51"/>
      <c r="E74" s="60">
        <v>15000</v>
      </c>
      <c r="F74" s="12">
        <f>C74*E74</f>
        <v>0</v>
      </c>
      <c r="G74" s="11">
        <f>F74/12</f>
        <v>0</v>
      </c>
    </row>
    <row r="75" spans="2:15">
      <c r="C75" s="13"/>
      <c r="E75" s="60"/>
      <c r="F75" s="12"/>
      <c r="G75" s="11"/>
      <c r="N75" s="13"/>
      <c r="O75" s="18"/>
    </row>
    <row r="76" spans="2:15">
      <c r="B76" t="s">
        <v>83</v>
      </c>
      <c r="C76" s="30">
        <v>1</v>
      </c>
      <c r="D76" s="51"/>
      <c r="E76" s="60">
        <v>2000</v>
      </c>
      <c r="F76" s="12">
        <f>C76*E76</f>
        <v>2000</v>
      </c>
      <c r="G76" s="11">
        <f>F76/12</f>
        <v>166.66666666666666</v>
      </c>
    </row>
    <row r="78" spans="2:15">
      <c r="B78" t="s">
        <v>84</v>
      </c>
      <c r="C78" s="30">
        <v>1</v>
      </c>
      <c r="D78" s="51"/>
      <c r="E78" s="60">
        <v>18000</v>
      </c>
      <c r="F78" s="12">
        <f>C78*E78</f>
        <v>18000</v>
      </c>
      <c r="G78" s="11">
        <f>F78/12</f>
        <v>1500</v>
      </c>
    </row>
    <row r="79" spans="2:15">
      <c r="B79" t="s">
        <v>85</v>
      </c>
      <c r="C79" s="30"/>
      <c r="D79" s="51"/>
      <c r="E79" s="60">
        <v>13200</v>
      </c>
      <c r="F79" s="12">
        <f>C79*E79</f>
        <v>0</v>
      </c>
      <c r="G79" s="11">
        <f>F79/12</f>
        <v>0</v>
      </c>
    </row>
    <row r="81" spans="2:14">
      <c r="B81" t="s">
        <v>86</v>
      </c>
      <c r="E81" s="11"/>
      <c r="F81" s="11"/>
      <c r="G81" s="11"/>
    </row>
    <row r="82" spans="2:14">
      <c r="B82" t="s">
        <v>86</v>
      </c>
      <c r="E82" s="11"/>
      <c r="F82" s="11"/>
      <c r="G82" s="11"/>
    </row>
    <row r="83" spans="2:14">
      <c r="B83" s="35" t="s">
        <v>87</v>
      </c>
      <c r="C83" s="63">
        <v>1</v>
      </c>
      <c r="D83" s="35"/>
      <c r="E83" s="62">
        <v>3000</v>
      </c>
      <c r="F83" s="12">
        <f>C83*E83</f>
        <v>3000</v>
      </c>
      <c r="G83" s="11">
        <f>F83/12</f>
        <v>250</v>
      </c>
    </row>
    <row r="84" spans="2:14">
      <c r="B84" s="35" t="s">
        <v>88</v>
      </c>
      <c r="C84" s="64"/>
      <c r="D84" s="27"/>
      <c r="E84" s="62">
        <v>5000</v>
      </c>
      <c r="F84" s="12">
        <f>C84*E84</f>
        <v>0</v>
      </c>
      <c r="G84" s="11">
        <f>F84/12</f>
        <v>0</v>
      </c>
    </row>
    <row r="85" spans="2:14">
      <c r="B85" s="20" t="s">
        <v>89</v>
      </c>
      <c r="C85" s="20"/>
      <c r="D85" s="20"/>
      <c r="E85" s="59"/>
      <c r="F85" s="59">
        <f>SUM(F67:F84)</f>
        <v>33500</v>
      </c>
      <c r="G85" s="59">
        <f>SUM(G67:G84)</f>
        <v>2791.666666666667</v>
      </c>
    </row>
    <row r="86" spans="2:14">
      <c r="B86" s="27"/>
      <c r="C86" s="27"/>
      <c r="D86" s="27"/>
      <c r="E86" s="28"/>
      <c r="F86" s="29"/>
    </row>
    <row r="87" spans="2:14">
      <c r="B87" s="27"/>
      <c r="C87" s="27"/>
      <c r="D87" s="27"/>
      <c r="E87" s="28"/>
      <c r="F87" s="29"/>
    </row>
    <row r="88" spans="2:14" ht="21.95">
      <c r="B88" s="37" t="s">
        <v>90</v>
      </c>
      <c r="C88" s="2" t="s">
        <v>24</v>
      </c>
      <c r="D88" s="2"/>
      <c r="E88" s="2" t="s">
        <v>13</v>
      </c>
      <c r="F88" s="2" t="s">
        <v>71</v>
      </c>
      <c r="G88" s="2" t="s">
        <v>72</v>
      </c>
    </row>
    <row r="89" spans="2:14">
      <c r="B89" t="s">
        <v>91</v>
      </c>
      <c r="C89" s="30">
        <v>0</v>
      </c>
      <c r="E89" s="60">
        <v>10000</v>
      </c>
      <c r="F89" s="12">
        <f>C89*E89</f>
        <v>0</v>
      </c>
      <c r="G89" s="11">
        <f>F89/12</f>
        <v>0</v>
      </c>
      <c r="H89" t="s">
        <v>92</v>
      </c>
      <c r="M89" s="11"/>
      <c r="N89" s="11"/>
    </row>
    <row r="91" spans="2:14">
      <c r="B91" s="20" t="s">
        <v>89</v>
      </c>
      <c r="C91" s="20"/>
      <c r="D91" s="20"/>
      <c r="E91" s="59"/>
      <c r="F91" s="59">
        <f>SUM(F89:F90)</f>
        <v>0</v>
      </c>
      <c r="G91" s="59">
        <f>SUM(G89:G90)</f>
        <v>0</v>
      </c>
    </row>
    <row r="93" spans="2:14" ht="21.95">
      <c r="B93" s="68" t="s">
        <v>93</v>
      </c>
      <c r="C93" s="69" t="s">
        <v>53</v>
      </c>
      <c r="D93" s="69" t="s">
        <v>59</v>
      </c>
    </row>
    <row r="94" spans="2:14">
      <c r="B94" t="s">
        <v>67</v>
      </c>
      <c r="C94" s="8">
        <f>I62</f>
        <v>142.80555555555557</v>
      </c>
      <c r="D94" s="8">
        <f>C94*12</f>
        <v>1713.666666666667</v>
      </c>
      <c r="E94" s="52"/>
      <c r="F94" s="3"/>
    </row>
    <row r="95" spans="2:14">
      <c r="B95" t="s">
        <v>19</v>
      </c>
      <c r="C95" s="8">
        <f>G85</f>
        <v>2791.666666666667</v>
      </c>
      <c r="D95" s="8">
        <f>C95*12</f>
        <v>33500</v>
      </c>
      <c r="E95" s="7"/>
      <c r="F95" s="3"/>
    </row>
    <row r="96" spans="2:14">
      <c r="B96" s="14" t="s">
        <v>60</v>
      </c>
      <c r="C96" s="15">
        <f>SUM(C94:C95)</f>
        <v>2934.4722222222226</v>
      </c>
      <c r="D96" s="15">
        <f>SUM(D94:D95)</f>
        <v>35213.666666666664</v>
      </c>
      <c r="E96" s="17"/>
      <c r="F96" s="17"/>
    </row>
    <row r="98" spans="1:8">
      <c r="B98" s="51"/>
      <c r="C98" s="61" t="s">
        <v>9</v>
      </c>
      <c r="D98" s="61" t="s">
        <v>61</v>
      </c>
      <c r="E98" s="61" t="s">
        <v>62</v>
      </c>
      <c r="F98" s="61" t="s">
        <v>63</v>
      </c>
    </row>
    <row r="99" spans="1:8">
      <c r="B99" s="61" t="s">
        <v>64</v>
      </c>
      <c r="C99" s="70">
        <f>G59</f>
        <v>970</v>
      </c>
      <c r="D99" s="71">
        <f>(C94+C95)/C99</f>
        <v>3.0252290950744563</v>
      </c>
      <c r="E99" s="71">
        <f>D99*2</f>
        <v>6.0504581901489125</v>
      </c>
      <c r="F99" s="71">
        <f>(D94+D95)/C99</f>
        <v>36.302749140893468</v>
      </c>
    </row>
    <row r="101" spans="1:8" s="16" customFormat="1" ht="27">
      <c r="A101" s="37"/>
      <c r="B101" s="53" t="s">
        <v>94</v>
      </c>
    </row>
    <row r="103" spans="1:8">
      <c r="C103" s="2" t="s">
        <v>11</v>
      </c>
      <c r="D103" s="2" t="s">
        <v>95</v>
      </c>
      <c r="E103" s="10" t="s">
        <v>96</v>
      </c>
      <c r="F103" s="10" t="s">
        <v>72</v>
      </c>
    </row>
    <row r="104" spans="1:8" s="2" customFormat="1">
      <c r="B104" t="s">
        <v>97</v>
      </c>
      <c r="C104" s="57">
        <f>D56</f>
        <v>0</v>
      </c>
      <c r="D104" s="57">
        <f>F56</f>
        <v>0</v>
      </c>
      <c r="E104" s="57">
        <f>D53</f>
        <v>0</v>
      </c>
      <c r="F104" s="57">
        <f>C53</f>
        <v>0</v>
      </c>
    </row>
    <row r="105" spans="1:8">
      <c r="B105" t="s">
        <v>98</v>
      </c>
      <c r="C105" s="3">
        <f>D99</f>
        <v>3.0252290950744563</v>
      </c>
      <c r="D105" s="3">
        <f>F99</f>
        <v>36.302749140893468</v>
      </c>
      <c r="E105" s="3">
        <f>D96</f>
        <v>35213.666666666664</v>
      </c>
      <c r="F105" s="3">
        <f>C96</f>
        <v>2934.4722222222226</v>
      </c>
    </row>
    <row r="106" spans="1:8">
      <c r="F106" s="3">
        <f>E106*12</f>
        <v>0</v>
      </c>
    </row>
    <row r="107" spans="1:8">
      <c r="D107" s="3"/>
      <c r="E107" s="7"/>
      <c r="F107" s="7"/>
    </row>
    <row r="108" spans="1:8">
      <c r="B108" s="22" t="s">
        <v>99</v>
      </c>
      <c r="C108" s="24">
        <f>SUM(C104:C107)</f>
        <v>3.0252290950744563</v>
      </c>
      <c r="D108" s="24">
        <f>SUM(D104:D107)</f>
        <v>36.302749140893468</v>
      </c>
      <c r="E108" s="72">
        <f>SUM(E104:E107)</f>
        <v>35213.666666666664</v>
      </c>
      <c r="F108" s="72">
        <f>SUM(F104:F107)</f>
        <v>2934.4722222222226</v>
      </c>
    </row>
    <row r="109" spans="1:8" ht="17.100000000000001" thickBot="1">
      <c r="E109" s="7"/>
      <c r="F109" s="7"/>
    </row>
    <row r="110" spans="1:8" ht="17.100000000000001" thickBot="1">
      <c r="D110" s="73" t="s">
        <v>100</v>
      </c>
      <c r="E110" s="74"/>
      <c r="F110" s="75">
        <f>E110*12</f>
        <v>0</v>
      </c>
      <c r="G110" s="76" t="s">
        <v>101</v>
      </c>
      <c r="H110" s="77"/>
    </row>
    <row r="111" spans="1:8">
      <c r="D111" s="3"/>
    </row>
    <row r="112" spans="1:8" ht="21.95">
      <c r="B112" s="37" t="s">
        <v>102</v>
      </c>
      <c r="G112" s="5"/>
    </row>
    <row r="113" spans="13:14">
      <c r="M113" s="11"/>
      <c r="N113" s="11"/>
    </row>
  </sheetData>
  <mergeCells count="7">
    <mergeCell ref="J15:O15"/>
    <mergeCell ref="J16:K16"/>
    <mergeCell ref="B5:C5"/>
    <mergeCell ref="L17:M17"/>
    <mergeCell ref="L16:M16"/>
    <mergeCell ref="N16:O16"/>
    <mergeCell ref="N17:O17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A5E7-11DA-44C8-8C9B-9E3F9C3EAC46}">
  <dimension ref="A2:O113"/>
  <sheetViews>
    <sheetView topLeftCell="A34" workbookViewId="0">
      <selection activeCell="K33" sqref="K33"/>
    </sheetView>
  </sheetViews>
  <sheetFormatPr defaultColWidth="11" defaultRowHeight="15.75"/>
  <cols>
    <col min="2" max="2" width="30" customWidth="1"/>
    <col min="3" max="3" width="22.875" customWidth="1"/>
    <col min="4" max="4" width="19.375" customWidth="1"/>
    <col min="5" max="5" width="17.625" customWidth="1"/>
    <col min="6" max="6" width="13.125" customWidth="1"/>
    <col min="7" max="7" width="14.5" customWidth="1"/>
    <col min="8" max="8" width="12.375" customWidth="1"/>
    <col min="9" max="10" width="9"/>
    <col min="11" max="11" width="6.375" customWidth="1"/>
    <col min="12" max="12" width="11.375" bestFit="1" customWidth="1"/>
    <col min="13" max="13" width="17.375" customWidth="1"/>
    <col min="14" max="14" width="13.5" bestFit="1" customWidth="1"/>
    <col min="15" max="15" width="16.875" customWidth="1"/>
  </cols>
  <sheetData>
    <row r="2" spans="1:15" s="84" customFormat="1" ht="31.5">
      <c r="A2" s="83"/>
      <c r="B2" s="84" t="s">
        <v>0</v>
      </c>
      <c r="C2" s="84" t="s">
        <v>103</v>
      </c>
    </row>
    <row r="3" spans="1:15">
      <c r="G3" s="1" t="s">
        <v>2</v>
      </c>
    </row>
    <row r="5" spans="1:15">
      <c r="B5" s="106" t="s">
        <v>3</v>
      </c>
      <c r="C5" s="106"/>
    </row>
    <row r="6" spans="1:15">
      <c r="B6" t="s">
        <v>4</v>
      </c>
      <c r="C6" s="55">
        <v>2</v>
      </c>
    </row>
    <row r="7" spans="1:15">
      <c r="B7" t="s">
        <v>5</v>
      </c>
      <c r="C7" s="56">
        <v>133</v>
      </c>
    </row>
    <row r="8" spans="1:15">
      <c r="B8" t="s">
        <v>6</v>
      </c>
      <c r="C8" s="56" t="s">
        <v>7</v>
      </c>
    </row>
    <row r="11" spans="1:15" s="16" customFormat="1" ht="26.25">
      <c r="A11" s="37"/>
      <c r="B11" s="53" t="s">
        <v>8</v>
      </c>
      <c r="C11" s="16" t="s">
        <v>4</v>
      </c>
      <c r="D11" s="54">
        <v>4</v>
      </c>
      <c r="F11" s="16" t="s">
        <v>9</v>
      </c>
      <c r="G11" s="31">
        <v>1140</v>
      </c>
    </row>
    <row r="15" spans="1:15" s="2" customFormat="1" ht="21">
      <c r="B15" s="37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J15" s="103" t="s">
        <v>16</v>
      </c>
      <c r="K15" s="104"/>
      <c r="L15" s="104"/>
      <c r="M15" s="104"/>
      <c r="N15" s="104"/>
      <c r="O15" s="105"/>
    </row>
    <row r="16" spans="1:15">
      <c r="B16" t="s">
        <v>17</v>
      </c>
      <c r="C16" s="13" t="s">
        <v>18</v>
      </c>
      <c r="D16" s="13">
        <v>12</v>
      </c>
      <c r="E16" s="4">
        <v>450</v>
      </c>
      <c r="F16" s="4">
        <f>E16*12</f>
        <v>5400</v>
      </c>
      <c r="G16" s="4">
        <f>F16/12</f>
        <v>450</v>
      </c>
      <c r="J16" s="103" t="s">
        <v>19</v>
      </c>
      <c r="K16" s="105"/>
      <c r="L16" s="109" t="s">
        <v>20</v>
      </c>
      <c r="M16" s="109"/>
      <c r="N16" s="109" t="s">
        <v>21</v>
      </c>
      <c r="O16" s="109"/>
    </row>
    <row r="17" spans="2:15">
      <c r="B17" t="s">
        <v>22</v>
      </c>
      <c r="C17" s="13" t="s">
        <v>18</v>
      </c>
      <c r="D17" s="13">
        <v>6</v>
      </c>
      <c r="E17" s="4">
        <v>450</v>
      </c>
      <c r="F17" s="4">
        <f>E17*12</f>
        <v>5400</v>
      </c>
      <c r="G17" s="4">
        <f>F17/12</f>
        <v>450</v>
      </c>
      <c r="J17" s="38" t="s">
        <v>23</v>
      </c>
      <c r="K17" s="39" t="s">
        <v>24</v>
      </c>
      <c r="L17" s="107" t="s">
        <v>25</v>
      </c>
      <c r="M17" s="108"/>
      <c r="N17" s="107" t="s">
        <v>25</v>
      </c>
      <c r="O17" s="108"/>
    </row>
    <row r="18" spans="2:15">
      <c r="B18" t="s">
        <v>26</v>
      </c>
      <c r="C18" s="13" t="s">
        <v>18</v>
      </c>
      <c r="D18" s="13">
        <v>1</v>
      </c>
      <c r="E18" s="4">
        <v>50</v>
      </c>
      <c r="F18" s="4">
        <f>E18*12</f>
        <v>600</v>
      </c>
      <c r="G18" s="4">
        <f>F18/12</f>
        <v>50</v>
      </c>
      <c r="J18" s="40" t="s">
        <v>23</v>
      </c>
      <c r="K18" s="19" t="s">
        <v>27</v>
      </c>
      <c r="L18" s="41">
        <v>0.5</v>
      </c>
      <c r="M18" s="42" t="s">
        <v>28</v>
      </c>
      <c r="N18" s="41">
        <v>1.5</v>
      </c>
      <c r="O18" s="42" t="s">
        <v>29</v>
      </c>
    </row>
    <row r="19" spans="2:15" s="9" customFormat="1" ht="17.100000000000001" customHeight="1">
      <c r="B19" s="20" t="s">
        <v>10</v>
      </c>
      <c r="C19" s="20"/>
      <c r="D19" s="20"/>
      <c r="E19" s="21">
        <f>SUM(E16:E18)</f>
        <v>950</v>
      </c>
      <c r="F19" s="21">
        <f>SUM(F16:F18)</f>
        <v>11400</v>
      </c>
      <c r="G19" s="21">
        <f>SUM(G16:G18)</f>
        <v>950</v>
      </c>
      <c r="J19" s="40" t="s">
        <v>23</v>
      </c>
      <c r="K19" s="19" t="s">
        <v>30</v>
      </c>
      <c r="L19" s="41">
        <v>1</v>
      </c>
      <c r="M19" s="42" t="s">
        <v>28</v>
      </c>
      <c r="N19" s="41">
        <v>1.5</v>
      </c>
      <c r="O19" s="42" t="s">
        <v>29</v>
      </c>
    </row>
    <row r="20" spans="2:15">
      <c r="J20" s="43" t="s">
        <v>23</v>
      </c>
      <c r="K20" s="26" t="s">
        <v>31</v>
      </c>
      <c r="L20" s="44">
        <v>1.5</v>
      </c>
      <c r="M20" s="45" t="s">
        <v>28</v>
      </c>
      <c r="N20" s="44">
        <v>1.5</v>
      </c>
      <c r="O20" s="45" t="s">
        <v>29</v>
      </c>
    </row>
    <row r="21" spans="2:15">
      <c r="F21" s="7"/>
      <c r="J21" s="40" t="s">
        <v>23</v>
      </c>
      <c r="K21" s="19" t="s">
        <v>32</v>
      </c>
      <c r="L21" s="41">
        <v>2</v>
      </c>
      <c r="M21" s="42" t="s">
        <v>28</v>
      </c>
      <c r="N21" s="41">
        <v>2</v>
      </c>
      <c r="O21" s="81" t="s">
        <v>29</v>
      </c>
    </row>
    <row r="22" spans="2:15" ht="21">
      <c r="B22" s="37" t="s">
        <v>33</v>
      </c>
      <c r="C22" s="2" t="s">
        <v>4</v>
      </c>
      <c r="D22" s="2" t="s">
        <v>34</v>
      </c>
      <c r="E22" s="2" t="s">
        <v>9</v>
      </c>
      <c r="F22" s="2" t="s">
        <v>14</v>
      </c>
      <c r="G22" s="2" t="s">
        <v>15</v>
      </c>
      <c r="J22" s="46" t="s">
        <v>23</v>
      </c>
      <c r="K22" s="19" t="s">
        <v>35</v>
      </c>
      <c r="L22" s="41">
        <v>2.5</v>
      </c>
      <c r="M22" s="42" t="s">
        <v>28</v>
      </c>
      <c r="N22" s="41">
        <v>2</v>
      </c>
      <c r="O22" s="81" t="s">
        <v>29</v>
      </c>
    </row>
    <row r="23" spans="2:15">
      <c r="B23" t="s">
        <v>36</v>
      </c>
      <c r="C23" s="13">
        <f>D11</f>
        <v>4</v>
      </c>
      <c r="D23" s="36">
        <v>0</v>
      </c>
      <c r="E23" s="12">
        <f>G11</f>
        <v>1140</v>
      </c>
      <c r="F23" s="11">
        <f>G23*12</f>
        <v>0</v>
      </c>
      <c r="G23" s="11">
        <f>D23*E23</f>
        <v>0</v>
      </c>
      <c r="J23" s="46" t="s">
        <v>23</v>
      </c>
      <c r="K23" s="19" t="s">
        <v>37</v>
      </c>
      <c r="L23" s="41">
        <v>3</v>
      </c>
      <c r="M23" s="42" t="s">
        <v>28</v>
      </c>
      <c r="N23" s="41">
        <v>2.5</v>
      </c>
      <c r="O23" s="81" t="s">
        <v>29</v>
      </c>
    </row>
    <row r="24" spans="2:15">
      <c r="B24" s="22" t="s">
        <v>38</v>
      </c>
      <c r="C24" s="22"/>
      <c r="D24" s="22"/>
      <c r="E24" s="22"/>
      <c r="F24" s="32">
        <f>SUM(F21:F23)</f>
        <v>0</v>
      </c>
      <c r="G24" s="32">
        <f>G23</f>
        <v>0</v>
      </c>
      <c r="J24" s="46" t="s">
        <v>23</v>
      </c>
      <c r="K24" s="19" t="s">
        <v>39</v>
      </c>
      <c r="L24" s="41">
        <v>4</v>
      </c>
      <c r="M24" s="42" t="s">
        <v>28</v>
      </c>
      <c r="N24" s="41">
        <v>2.5</v>
      </c>
      <c r="O24" s="81" t="s">
        <v>29</v>
      </c>
    </row>
    <row r="25" spans="2:15">
      <c r="E25" s="3"/>
      <c r="J25" s="47" t="s">
        <v>23</v>
      </c>
      <c r="K25" s="48" t="s">
        <v>40</v>
      </c>
      <c r="L25" s="49">
        <v>4.5</v>
      </c>
      <c r="M25" s="50" t="s">
        <v>28</v>
      </c>
      <c r="N25" s="49">
        <v>2.5</v>
      </c>
      <c r="O25" s="50" t="s">
        <v>29</v>
      </c>
    </row>
    <row r="26" spans="2:15">
      <c r="E26" s="3"/>
      <c r="J26" s="35"/>
      <c r="K26" s="19"/>
      <c r="L26" s="4"/>
    </row>
    <row r="27" spans="2:15" ht="21">
      <c r="B27" s="37" t="s">
        <v>41</v>
      </c>
      <c r="C27" s="2" t="s">
        <v>42</v>
      </c>
      <c r="D27" s="2"/>
      <c r="E27" s="2" t="s">
        <v>43</v>
      </c>
      <c r="F27" s="2" t="s">
        <v>14</v>
      </c>
      <c r="G27" s="2" t="s">
        <v>15</v>
      </c>
    </row>
    <row r="28" spans="2:15">
      <c r="B28" t="s">
        <v>44</v>
      </c>
      <c r="C28" s="30"/>
      <c r="D28" s="51"/>
      <c r="E28" s="25"/>
      <c r="F28" s="4">
        <f>G28*12</f>
        <v>0</v>
      </c>
      <c r="G28" s="4">
        <f>C28*E28</f>
        <v>0</v>
      </c>
    </row>
    <row r="29" spans="2:15">
      <c r="B29" t="s">
        <v>45</v>
      </c>
      <c r="C29" s="30"/>
      <c r="D29" s="51"/>
      <c r="E29" s="25"/>
      <c r="F29" s="4">
        <f t="shared" ref="F29:F34" si="0">G29*12</f>
        <v>0</v>
      </c>
      <c r="G29" s="4">
        <f t="shared" ref="G29:G34" si="1">C29*E29</f>
        <v>0</v>
      </c>
    </row>
    <row r="30" spans="2:15">
      <c r="B30" t="s">
        <v>46</v>
      </c>
      <c r="C30" s="30"/>
      <c r="D30" s="51"/>
      <c r="E30" s="25"/>
      <c r="F30" s="4">
        <f t="shared" si="0"/>
        <v>0</v>
      </c>
      <c r="G30" s="4">
        <f t="shared" si="1"/>
        <v>0</v>
      </c>
    </row>
    <row r="31" spans="2:15">
      <c r="B31" t="s">
        <v>104</v>
      </c>
      <c r="C31" s="30">
        <v>0.75</v>
      </c>
      <c r="D31" s="51"/>
      <c r="E31" s="25">
        <v>1600</v>
      </c>
      <c r="F31" s="4">
        <f t="shared" si="0"/>
        <v>14400</v>
      </c>
      <c r="G31" s="4">
        <f t="shared" si="1"/>
        <v>1200</v>
      </c>
    </row>
    <row r="32" spans="2:15">
      <c r="B32" t="s">
        <v>105</v>
      </c>
      <c r="C32" s="30">
        <v>1</v>
      </c>
      <c r="D32" s="51"/>
      <c r="E32" s="25">
        <v>1600</v>
      </c>
      <c r="F32" s="4">
        <f t="shared" si="0"/>
        <v>19200</v>
      </c>
      <c r="G32" s="4">
        <f t="shared" si="1"/>
        <v>1600</v>
      </c>
    </row>
    <row r="33" spans="2:13">
      <c r="B33" t="s">
        <v>106</v>
      </c>
      <c r="C33" s="30">
        <v>1</v>
      </c>
      <c r="D33" s="51"/>
      <c r="E33" s="25">
        <v>8500</v>
      </c>
      <c r="F33" s="4">
        <f>G33*1</f>
        <v>8500</v>
      </c>
      <c r="G33" s="4">
        <f>C33*E33</f>
        <v>8500</v>
      </c>
      <c r="J33" s="80"/>
    </row>
    <row r="34" spans="2:13">
      <c r="B34" t="s">
        <v>107</v>
      </c>
      <c r="C34" s="30">
        <v>3</v>
      </c>
      <c r="D34" s="51"/>
      <c r="E34" s="25">
        <v>1600</v>
      </c>
      <c r="F34" s="4">
        <f t="shared" si="0"/>
        <v>57600</v>
      </c>
      <c r="G34" s="4">
        <f t="shared" si="1"/>
        <v>4800</v>
      </c>
      <c r="J34" s="80"/>
    </row>
    <row r="35" spans="2:13">
      <c r="B35" s="20" t="s">
        <v>48</v>
      </c>
      <c r="C35" s="20"/>
      <c r="D35" s="20"/>
      <c r="E35" s="21"/>
      <c r="F35" s="21">
        <f>SUM(F28:F34)</f>
        <v>99700</v>
      </c>
      <c r="G35" s="21">
        <f>SUM(G28:G34)</f>
        <v>16100</v>
      </c>
    </row>
    <row r="38" spans="2:13" s="2" customFormat="1" ht="21">
      <c r="B38" s="37" t="s">
        <v>21</v>
      </c>
      <c r="C38" s="2" t="s">
        <v>49</v>
      </c>
      <c r="D38" s="2" t="s">
        <v>50</v>
      </c>
      <c r="E38" s="2" t="s">
        <v>51</v>
      </c>
      <c r="F38" s="2" t="s">
        <v>52</v>
      </c>
      <c r="G38" s="2" t="s">
        <v>14</v>
      </c>
      <c r="H38" s="2" t="s">
        <v>53</v>
      </c>
      <c r="J38"/>
      <c r="K38"/>
      <c r="L38" s="6"/>
    </row>
    <row r="39" spans="2:13">
      <c r="B39" t="s">
        <v>54</v>
      </c>
      <c r="C39" s="82"/>
      <c r="D39" s="82"/>
      <c r="E39" s="82"/>
      <c r="F39" s="70"/>
      <c r="G39" s="71"/>
      <c r="H39" s="82"/>
      <c r="J39" s="33"/>
      <c r="K39" s="33"/>
      <c r="L39" s="12"/>
    </row>
    <row r="40" spans="2:13">
      <c r="B40" t="s">
        <v>55</v>
      </c>
      <c r="C40" s="82"/>
      <c r="D40" s="82"/>
      <c r="E40" s="82"/>
      <c r="F40" s="70"/>
      <c r="G40" s="71"/>
      <c r="H40" s="82"/>
      <c r="L40" s="12"/>
    </row>
    <row r="41" spans="2:13">
      <c r="B41" t="s">
        <v>56</v>
      </c>
      <c r="C41" s="82"/>
      <c r="D41" s="82"/>
      <c r="E41" s="82"/>
      <c r="F41" s="70"/>
      <c r="G41" s="71"/>
      <c r="H41" s="82"/>
      <c r="L41" s="12"/>
    </row>
    <row r="42" spans="2:13">
      <c r="B42" t="s">
        <v>57</v>
      </c>
      <c r="C42" s="82"/>
      <c r="D42" s="82"/>
      <c r="E42" s="82"/>
      <c r="F42" s="70"/>
      <c r="G42" s="71"/>
      <c r="H42" s="82"/>
      <c r="L42" s="12"/>
    </row>
    <row r="43" spans="2:13">
      <c r="C43" s="4"/>
      <c r="D43" s="4"/>
      <c r="E43" s="4"/>
      <c r="F43" s="12"/>
      <c r="G43" s="3"/>
      <c r="H43" s="4"/>
      <c r="L43" s="12"/>
    </row>
    <row r="44" spans="2:13">
      <c r="B44" s="22" t="s">
        <v>21</v>
      </c>
      <c r="C44" s="79">
        <v>1.5</v>
      </c>
      <c r="D44" s="23">
        <f>C44/2</f>
        <v>0.75</v>
      </c>
      <c r="E44" s="23">
        <f>D44*12</f>
        <v>9</v>
      </c>
      <c r="F44" s="78">
        <f>$G$11</f>
        <v>1140</v>
      </c>
      <c r="G44" s="24">
        <f>E44*F44</f>
        <v>10260</v>
      </c>
      <c r="H44" s="23">
        <f>G44/12</f>
        <v>855</v>
      </c>
    </row>
    <row r="45" spans="2:13">
      <c r="J45" s="33"/>
      <c r="K45" s="33"/>
      <c r="L45" s="33"/>
      <c r="M45" s="33"/>
    </row>
    <row r="46" spans="2:13" s="33" customFormat="1">
      <c r="E46" s="34"/>
      <c r="G46" s="33">
        <v>1</v>
      </c>
    </row>
    <row r="47" spans="2:13">
      <c r="C47" s="2"/>
      <c r="E47" s="3"/>
    </row>
    <row r="48" spans="2:13" ht="21">
      <c r="B48" s="68" t="s">
        <v>58</v>
      </c>
      <c r="C48" s="69" t="s">
        <v>53</v>
      </c>
      <c r="D48" s="69" t="s">
        <v>59</v>
      </c>
    </row>
    <row r="49" spans="1:9">
      <c r="B49" t="s">
        <v>33</v>
      </c>
      <c r="C49" s="8">
        <f>G24</f>
        <v>0</v>
      </c>
      <c r="D49" s="8">
        <f>C49*12</f>
        <v>0</v>
      </c>
      <c r="E49" s="52"/>
      <c r="F49" s="3"/>
    </row>
    <row r="50" spans="1:9">
      <c r="B50" t="s">
        <v>21</v>
      </c>
      <c r="C50" s="8">
        <f>H44</f>
        <v>855</v>
      </c>
      <c r="D50" s="8">
        <f>C50*12</f>
        <v>10260</v>
      </c>
      <c r="E50" s="7"/>
      <c r="F50" s="3"/>
    </row>
    <row r="51" spans="1:9">
      <c r="B51" t="s">
        <v>41</v>
      </c>
      <c r="C51" s="8">
        <f>G35</f>
        <v>16100</v>
      </c>
      <c r="D51" s="8">
        <f>C51*12</f>
        <v>193200</v>
      </c>
      <c r="E51" s="2"/>
      <c r="F51" s="3"/>
    </row>
    <row r="52" spans="1:9">
      <c r="B52" t="s">
        <v>10</v>
      </c>
      <c r="C52" s="8">
        <f>G19</f>
        <v>950</v>
      </c>
      <c r="D52" s="8">
        <f>C52*12</f>
        <v>11400</v>
      </c>
      <c r="E52" s="2"/>
      <c r="F52" s="3"/>
    </row>
    <row r="53" spans="1:9">
      <c r="B53" s="14" t="s">
        <v>60</v>
      </c>
      <c r="C53" s="15">
        <f>SUM(C49:C52)</f>
        <v>17905</v>
      </c>
      <c r="D53" s="15">
        <f>SUM(D49:D52)</f>
        <v>214860</v>
      </c>
      <c r="E53" s="17"/>
      <c r="F53" s="17"/>
    </row>
    <row r="55" spans="1:9">
      <c r="B55" s="51"/>
      <c r="C55" s="61" t="s">
        <v>9</v>
      </c>
      <c r="D55" s="61" t="s">
        <v>61</v>
      </c>
      <c r="E55" s="61" t="s">
        <v>62</v>
      </c>
      <c r="F55" s="61" t="s">
        <v>63</v>
      </c>
    </row>
    <row r="56" spans="1:9">
      <c r="B56" s="61" t="s">
        <v>64</v>
      </c>
      <c r="C56" s="70">
        <f>G11</f>
        <v>1140</v>
      </c>
      <c r="D56" s="71">
        <f>(C49+C50+C51)/C56</f>
        <v>14.87280701754386</v>
      </c>
      <c r="E56" s="71">
        <f>D56*2</f>
        <v>29.745614035087719</v>
      </c>
      <c r="F56" s="71">
        <f>(D49+D50+D51)/C56</f>
        <v>178.47368421052633</v>
      </c>
    </row>
    <row r="59" spans="1:9" s="16" customFormat="1" ht="26.25">
      <c r="A59" s="37"/>
      <c r="B59" s="53" t="s">
        <v>65</v>
      </c>
      <c r="C59" s="16" t="s">
        <v>66</v>
      </c>
      <c r="D59" s="16">
        <v>1524</v>
      </c>
      <c r="F59" s="16" t="s">
        <v>9</v>
      </c>
      <c r="G59" s="31">
        <v>970</v>
      </c>
    </row>
    <row r="61" spans="1:9" ht="21">
      <c r="B61" s="37" t="s">
        <v>67</v>
      </c>
      <c r="C61" s="2" t="s">
        <v>68</v>
      </c>
      <c r="D61" s="2" t="s">
        <v>69</v>
      </c>
      <c r="E61" s="2" t="s">
        <v>70</v>
      </c>
      <c r="F61" s="2" t="s">
        <v>11</v>
      </c>
      <c r="G61" s="2" t="s">
        <v>9</v>
      </c>
      <c r="H61" s="2" t="s">
        <v>71</v>
      </c>
      <c r="I61" s="2" t="s">
        <v>72</v>
      </c>
    </row>
    <row r="62" spans="1:9">
      <c r="B62" t="s">
        <v>73</v>
      </c>
      <c r="C62" s="13">
        <f>D59</f>
        <v>1524</v>
      </c>
      <c r="D62" s="13">
        <f>C62/12</f>
        <v>127</v>
      </c>
      <c r="E62" s="65">
        <v>1</v>
      </c>
      <c r="F62" s="13">
        <f>(D62*E62)/60</f>
        <v>2.1166666666666667</v>
      </c>
      <c r="G62" s="58">
        <v>970</v>
      </c>
      <c r="H62" s="12">
        <f>I62*12</f>
        <v>24638</v>
      </c>
      <c r="I62" s="12">
        <f>F62*G62</f>
        <v>2053.1666666666665</v>
      </c>
    </row>
    <row r="63" spans="1:9">
      <c r="B63" s="66" t="s">
        <v>74</v>
      </c>
    </row>
    <row r="66" spans="2:15" ht="21">
      <c r="B66" s="37" t="s">
        <v>19</v>
      </c>
      <c r="C66" s="2" t="s">
        <v>75</v>
      </c>
      <c r="D66" s="2" t="s">
        <v>76</v>
      </c>
      <c r="E66" s="2" t="s">
        <v>13</v>
      </c>
      <c r="F66" s="2" t="s">
        <v>71</v>
      </c>
      <c r="G66" s="2" t="s">
        <v>72</v>
      </c>
    </row>
    <row r="67" spans="2:15">
      <c r="B67" s="27" t="s">
        <v>77</v>
      </c>
      <c r="C67" s="67"/>
      <c r="D67" s="30">
        <v>1</v>
      </c>
      <c r="E67" s="60">
        <v>1600</v>
      </c>
      <c r="F67" s="12">
        <f>G67*12</f>
        <v>19200</v>
      </c>
      <c r="G67" s="11">
        <f>E67*D67</f>
        <v>1600</v>
      </c>
    </row>
    <row r="68" spans="2:15">
      <c r="B68" s="2"/>
      <c r="C68" s="2"/>
      <c r="D68" s="2"/>
      <c r="E68" s="2"/>
      <c r="F68" s="2"/>
      <c r="G68" s="2"/>
    </row>
    <row r="69" spans="2:15">
      <c r="B69" t="s">
        <v>78</v>
      </c>
      <c r="C69" s="30">
        <v>1</v>
      </c>
      <c r="D69" s="51"/>
      <c r="E69" s="60">
        <v>5400</v>
      </c>
      <c r="F69" s="12">
        <f>C69*E69</f>
        <v>5400</v>
      </c>
      <c r="G69" s="11">
        <f>F69/12</f>
        <v>450</v>
      </c>
    </row>
    <row r="70" spans="2:15">
      <c r="B70" t="s">
        <v>79</v>
      </c>
      <c r="C70" s="30"/>
      <c r="D70" s="51"/>
      <c r="E70" s="60">
        <v>1100</v>
      </c>
      <c r="F70" s="12">
        <f>C70*E70</f>
        <v>0</v>
      </c>
      <c r="G70" s="11">
        <f>F70/12</f>
        <v>0</v>
      </c>
    </row>
    <row r="71" spans="2:15">
      <c r="B71" s="2"/>
      <c r="C71" s="2"/>
      <c r="D71" s="2"/>
    </row>
    <row r="72" spans="2:15">
      <c r="B72" t="s">
        <v>80</v>
      </c>
      <c r="C72" s="30">
        <v>1</v>
      </c>
      <c r="D72" s="51"/>
      <c r="E72" s="60">
        <v>10500</v>
      </c>
      <c r="F72" s="12">
        <f>C72*E72</f>
        <v>10500</v>
      </c>
      <c r="G72" s="11">
        <f>F72/12</f>
        <v>875</v>
      </c>
    </row>
    <row r="73" spans="2:15">
      <c r="B73" t="s">
        <v>81</v>
      </c>
      <c r="C73" s="30"/>
      <c r="D73" s="51"/>
      <c r="E73" s="60">
        <v>8500</v>
      </c>
      <c r="F73" s="12">
        <f>C73*E73</f>
        <v>0</v>
      </c>
      <c r="G73" s="11">
        <f>F73/12</f>
        <v>0</v>
      </c>
    </row>
    <row r="74" spans="2:15">
      <c r="B74" t="s">
        <v>82</v>
      </c>
      <c r="C74" s="30"/>
      <c r="D74" s="51"/>
      <c r="E74" s="60">
        <v>15000</v>
      </c>
      <c r="F74" s="12">
        <f>C74*E74</f>
        <v>0</v>
      </c>
      <c r="G74" s="11">
        <f>F74/12</f>
        <v>0</v>
      </c>
    </row>
    <row r="75" spans="2:15">
      <c r="C75" s="13"/>
      <c r="E75" s="60"/>
      <c r="F75" s="12"/>
      <c r="G75" s="11"/>
      <c r="N75" s="13"/>
      <c r="O75" s="18"/>
    </row>
    <row r="76" spans="2:15">
      <c r="B76" t="s">
        <v>83</v>
      </c>
      <c r="C76" s="30">
        <v>1</v>
      </c>
      <c r="D76" s="51"/>
      <c r="E76" s="60">
        <v>2000</v>
      </c>
      <c r="F76" s="12">
        <f>C76*E76</f>
        <v>2000</v>
      </c>
      <c r="G76" s="11">
        <f>F76/12</f>
        <v>166.66666666666666</v>
      </c>
    </row>
    <row r="78" spans="2:15">
      <c r="B78" t="s">
        <v>84</v>
      </c>
      <c r="C78" s="30">
        <v>1</v>
      </c>
      <c r="D78" s="51"/>
      <c r="E78" s="60">
        <v>18000</v>
      </c>
      <c r="F78" s="12">
        <f>C78*E78</f>
        <v>18000</v>
      </c>
      <c r="G78" s="11">
        <f>F78/12</f>
        <v>1500</v>
      </c>
    </row>
    <row r="79" spans="2:15">
      <c r="B79" t="s">
        <v>85</v>
      </c>
      <c r="C79" s="30"/>
      <c r="D79" s="51"/>
      <c r="E79" s="60">
        <v>13200</v>
      </c>
      <c r="F79" s="12">
        <f>C79*E79</f>
        <v>0</v>
      </c>
      <c r="G79" s="11">
        <f>F79/12</f>
        <v>0</v>
      </c>
    </row>
    <row r="81" spans="2:14">
      <c r="B81" t="s">
        <v>86</v>
      </c>
      <c r="E81" s="11"/>
      <c r="F81" s="11"/>
      <c r="G81" s="11"/>
    </row>
    <row r="82" spans="2:14">
      <c r="B82" t="s">
        <v>86</v>
      </c>
      <c r="E82" s="11"/>
      <c r="F82" s="11"/>
      <c r="G82" s="11"/>
    </row>
    <row r="83" spans="2:14">
      <c r="B83" s="35" t="s">
        <v>87</v>
      </c>
      <c r="C83" s="63">
        <v>1</v>
      </c>
      <c r="D83" s="35"/>
      <c r="E83" s="62">
        <v>3000</v>
      </c>
      <c r="F83" s="12">
        <f>C83*E83</f>
        <v>3000</v>
      </c>
      <c r="G83" s="11">
        <f>F83/12</f>
        <v>250</v>
      </c>
    </row>
    <row r="84" spans="2:14">
      <c r="B84" s="35" t="s">
        <v>88</v>
      </c>
      <c r="C84" s="64"/>
      <c r="D84" s="27"/>
      <c r="E84" s="62">
        <v>5000</v>
      </c>
      <c r="F84" s="12">
        <f>C84*E84</f>
        <v>0</v>
      </c>
      <c r="G84" s="11">
        <f>F84/12</f>
        <v>0</v>
      </c>
    </row>
    <row r="85" spans="2:14">
      <c r="B85" s="20" t="s">
        <v>89</v>
      </c>
      <c r="C85" s="20"/>
      <c r="D85" s="20"/>
      <c r="E85" s="59"/>
      <c r="F85" s="59">
        <f>SUM(F67:F84)</f>
        <v>58100</v>
      </c>
      <c r="G85" s="59">
        <f>SUM(G67:G84)</f>
        <v>4841.6666666666661</v>
      </c>
    </row>
    <row r="86" spans="2:14">
      <c r="B86" s="27"/>
      <c r="C86" s="27"/>
      <c r="D86" s="27"/>
      <c r="E86" s="28"/>
      <c r="F86" s="29"/>
    </row>
    <row r="87" spans="2:14">
      <c r="B87" s="27"/>
      <c r="C87" s="27"/>
      <c r="D87" s="27"/>
      <c r="E87" s="28"/>
      <c r="F87" s="29"/>
    </row>
    <row r="88" spans="2:14" ht="21">
      <c r="B88" s="37" t="s">
        <v>90</v>
      </c>
      <c r="C88" s="2" t="s">
        <v>24</v>
      </c>
      <c r="D88" s="2"/>
      <c r="E88" s="2" t="s">
        <v>13</v>
      </c>
      <c r="F88" s="2" t="s">
        <v>71</v>
      </c>
      <c r="G88" s="2" t="s">
        <v>72</v>
      </c>
    </row>
    <row r="89" spans="2:14">
      <c r="B89" t="s">
        <v>91</v>
      </c>
      <c r="C89" s="30">
        <v>0</v>
      </c>
      <c r="E89" s="60">
        <v>10000</v>
      </c>
      <c r="F89" s="12">
        <f>C89*E89</f>
        <v>0</v>
      </c>
      <c r="G89" s="11">
        <f>F89/12</f>
        <v>0</v>
      </c>
      <c r="H89" t="s">
        <v>92</v>
      </c>
      <c r="M89" s="11"/>
      <c r="N89" s="11"/>
    </row>
    <row r="91" spans="2:14">
      <c r="B91" s="20" t="s">
        <v>89</v>
      </c>
      <c r="C91" s="20"/>
      <c r="D91" s="20"/>
      <c r="E91" s="59"/>
      <c r="F91" s="59">
        <f>SUM(F89:F90)</f>
        <v>0</v>
      </c>
      <c r="G91" s="59">
        <f>SUM(G89:G90)</f>
        <v>0</v>
      </c>
    </row>
    <row r="93" spans="2:14" ht="21">
      <c r="B93" s="68" t="s">
        <v>93</v>
      </c>
      <c r="C93" s="69" t="s">
        <v>53</v>
      </c>
      <c r="D93" s="69" t="s">
        <v>59</v>
      </c>
    </row>
    <row r="94" spans="2:14">
      <c r="B94" t="s">
        <v>67</v>
      </c>
      <c r="C94" s="8">
        <f>I62</f>
        <v>2053.1666666666665</v>
      </c>
      <c r="D94" s="8">
        <f>C94*12</f>
        <v>24638</v>
      </c>
      <c r="E94" s="52"/>
      <c r="F94" s="3"/>
    </row>
    <row r="95" spans="2:14">
      <c r="B95" t="s">
        <v>19</v>
      </c>
      <c r="C95" s="8">
        <f>G85</f>
        <v>4841.6666666666661</v>
      </c>
      <c r="D95" s="8">
        <f>C95*12</f>
        <v>58099.999999999993</v>
      </c>
      <c r="E95" s="7"/>
      <c r="F95" s="3"/>
    </row>
    <row r="96" spans="2:14">
      <c r="B96" s="14" t="s">
        <v>60</v>
      </c>
      <c r="C96" s="15">
        <f>SUM(C94:C95)</f>
        <v>6894.8333333333321</v>
      </c>
      <c r="D96" s="15">
        <f>SUM(D94:D95)</f>
        <v>82738</v>
      </c>
      <c r="E96" s="17"/>
      <c r="F96" s="17"/>
    </row>
    <row r="98" spans="1:8">
      <c r="B98" s="51"/>
      <c r="C98" s="61" t="s">
        <v>9</v>
      </c>
      <c r="D98" s="61" t="s">
        <v>61</v>
      </c>
      <c r="E98" s="61" t="s">
        <v>62</v>
      </c>
      <c r="F98" s="61" t="s">
        <v>63</v>
      </c>
    </row>
    <row r="99" spans="1:8">
      <c r="B99" s="61" t="s">
        <v>64</v>
      </c>
      <c r="C99" s="70">
        <f>G59</f>
        <v>970</v>
      </c>
      <c r="D99" s="71">
        <f>(C94+C95)/C99</f>
        <v>7.1080756013745692</v>
      </c>
      <c r="E99" s="71">
        <f>D99*2</f>
        <v>14.216151202749138</v>
      </c>
      <c r="F99" s="71">
        <f>(D94+D95)/C99</f>
        <v>85.296907216494844</v>
      </c>
    </row>
    <row r="101" spans="1:8" s="16" customFormat="1" ht="26.25">
      <c r="A101" s="37"/>
      <c r="B101" s="53" t="s">
        <v>94</v>
      </c>
    </row>
    <row r="103" spans="1:8">
      <c r="C103" s="2" t="s">
        <v>11</v>
      </c>
      <c r="D103" s="2" t="s">
        <v>95</v>
      </c>
      <c r="E103" s="10" t="s">
        <v>96</v>
      </c>
      <c r="F103" s="10" t="s">
        <v>72</v>
      </c>
    </row>
    <row r="104" spans="1:8" s="2" customFormat="1">
      <c r="B104" t="s">
        <v>97</v>
      </c>
      <c r="C104" s="57">
        <f>D56</f>
        <v>14.87280701754386</v>
      </c>
      <c r="D104" s="57">
        <f>F56</f>
        <v>178.47368421052633</v>
      </c>
      <c r="E104" s="57">
        <f>D53</f>
        <v>214860</v>
      </c>
      <c r="F104" s="57">
        <f>C53</f>
        <v>17905</v>
      </c>
    </row>
    <row r="105" spans="1:8">
      <c r="B105" t="s">
        <v>98</v>
      </c>
      <c r="C105" s="3">
        <f>D99</f>
        <v>7.1080756013745692</v>
      </c>
      <c r="D105" s="3">
        <f>F99</f>
        <v>85.296907216494844</v>
      </c>
      <c r="E105" s="3">
        <f>D96</f>
        <v>82738</v>
      </c>
      <c r="F105" s="3">
        <f>C96</f>
        <v>6894.8333333333321</v>
      </c>
    </row>
    <row r="106" spans="1:8">
      <c r="F106" s="3">
        <f>E106*12</f>
        <v>0</v>
      </c>
    </row>
    <row r="107" spans="1:8">
      <c r="D107" s="3"/>
      <c r="E107" s="7"/>
      <c r="F107" s="7"/>
    </row>
    <row r="108" spans="1:8">
      <c r="B108" s="22" t="s">
        <v>99</v>
      </c>
      <c r="C108" s="24">
        <f>SUM(C104:C107)</f>
        <v>21.980882618918429</v>
      </c>
      <c r="D108" s="24">
        <f>SUM(D104:D107)</f>
        <v>263.77059142702115</v>
      </c>
      <c r="E108" s="72">
        <f>SUM(E104:E107)</f>
        <v>297598</v>
      </c>
      <c r="F108" s="72">
        <f>SUM(F104:F107)</f>
        <v>24799.833333333332</v>
      </c>
    </row>
    <row r="109" spans="1:8">
      <c r="E109" s="7"/>
      <c r="F109" s="7"/>
    </row>
    <row r="110" spans="1:8">
      <c r="D110" s="73" t="s">
        <v>100</v>
      </c>
      <c r="E110" s="74"/>
      <c r="F110" s="75">
        <f>E110*12</f>
        <v>0</v>
      </c>
      <c r="G110" s="76" t="s">
        <v>101</v>
      </c>
      <c r="H110" s="77"/>
    </row>
    <row r="111" spans="1:8">
      <c r="D111" s="3"/>
    </row>
    <row r="112" spans="1:8" ht="21">
      <c r="B112" s="37" t="s">
        <v>102</v>
      </c>
      <c r="G112" s="5"/>
    </row>
    <row r="113" spans="13:14">
      <c r="M113" s="11"/>
      <c r="N113" s="11"/>
    </row>
  </sheetData>
  <mergeCells count="7">
    <mergeCell ref="L17:M17"/>
    <mergeCell ref="N17:O17"/>
    <mergeCell ref="B5:C5"/>
    <mergeCell ref="J15:O15"/>
    <mergeCell ref="J16:K16"/>
    <mergeCell ref="L16:M16"/>
    <mergeCell ref="N16:O16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8FDB-5BD4-024C-AA45-A35B51F35097}">
  <dimension ref="B2:D54"/>
  <sheetViews>
    <sheetView workbookViewId="0">
      <selection activeCell="P47" sqref="P47"/>
    </sheetView>
  </sheetViews>
  <sheetFormatPr defaultColWidth="11" defaultRowHeight="15.95"/>
  <cols>
    <col min="2" max="2" width="87" customWidth="1"/>
    <col min="3" max="3" width="8.5" style="85" customWidth="1"/>
    <col min="4" max="4" width="8.5" style="99" customWidth="1"/>
  </cols>
  <sheetData>
    <row r="2" spans="2:4" ht="33.950000000000003">
      <c r="B2" s="102" t="s">
        <v>108</v>
      </c>
    </row>
    <row r="3" spans="2:4">
      <c r="B3" s="86"/>
      <c r="C3" s="87"/>
      <c r="D3" s="100">
        <v>2026</v>
      </c>
    </row>
    <row r="4" spans="2:4">
      <c r="B4" s="88" t="s">
        <v>109</v>
      </c>
    </row>
    <row r="5" spans="2:4">
      <c r="B5" s="89" t="s">
        <v>110</v>
      </c>
      <c r="D5" s="99">
        <v>970</v>
      </c>
    </row>
    <row r="6" spans="2:4">
      <c r="B6" s="89" t="s">
        <v>111</v>
      </c>
      <c r="D6" s="99">
        <v>1140</v>
      </c>
    </row>
    <row r="7" spans="2:4">
      <c r="B7" s="89" t="s">
        <v>112</v>
      </c>
      <c r="D7" s="99">
        <v>1600</v>
      </c>
    </row>
    <row r="8" spans="2:4">
      <c r="B8" s="89" t="s">
        <v>113</v>
      </c>
      <c r="D8" s="99">
        <v>2500</v>
      </c>
    </row>
    <row r="9" spans="2:4">
      <c r="B9" s="90" t="s">
        <v>114</v>
      </c>
    </row>
    <row r="10" spans="2:4">
      <c r="B10" s="90"/>
    </row>
    <row r="11" spans="2:4">
      <c r="B11" s="89" t="s">
        <v>115</v>
      </c>
      <c r="D11" s="99">
        <v>950</v>
      </c>
    </row>
    <row r="12" spans="2:4">
      <c r="B12" s="89" t="s">
        <v>116</v>
      </c>
      <c r="D12" s="99">
        <v>450</v>
      </c>
    </row>
    <row r="13" spans="2:4">
      <c r="B13" s="89" t="s">
        <v>117</v>
      </c>
      <c r="C13" s="91"/>
      <c r="D13" s="101">
        <v>1100</v>
      </c>
    </row>
    <row r="14" spans="2:4">
      <c r="B14" s="89" t="s">
        <v>118</v>
      </c>
      <c r="D14" s="99">
        <v>1500</v>
      </c>
    </row>
    <row r="15" spans="2:4">
      <c r="B15" s="90"/>
    </row>
    <row r="16" spans="2:4">
      <c r="B16" s="89" t="s">
        <v>119</v>
      </c>
      <c r="D16" s="99">
        <v>10500</v>
      </c>
    </row>
    <row r="17" spans="2:4">
      <c r="B17" s="89" t="s">
        <v>120</v>
      </c>
      <c r="D17" s="99">
        <v>2000</v>
      </c>
    </row>
    <row r="18" spans="2:4">
      <c r="B18" s="89" t="s">
        <v>121</v>
      </c>
      <c r="D18" s="99">
        <v>4500</v>
      </c>
    </row>
    <row r="19" spans="2:4">
      <c r="B19" s="89" t="s">
        <v>122</v>
      </c>
      <c r="D19" s="99">
        <v>8500</v>
      </c>
    </row>
    <row r="20" spans="2:4">
      <c r="B20" s="89" t="s">
        <v>123</v>
      </c>
      <c r="D20" s="99">
        <v>15000</v>
      </c>
    </row>
    <row r="21" spans="2:4">
      <c r="B21" s="90"/>
    </row>
    <row r="22" spans="2:4">
      <c r="B22" s="89" t="s">
        <v>124</v>
      </c>
      <c r="D22" s="99" t="s">
        <v>125</v>
      </c>
    </row>
    <row r="23" spans="2:4">
      <c r="B23" s="89" t="s">
        <v>126</v>
      </c>
      <c r="D23" s="99">
        <v>1600</v>
      </c>
    </row>
    <row r="24" spans="2:4">
      <c r="B24" s="89" t="s">
        <v>127</v>
      </c>
      <c r="D24" s="99">
        <v>3000</v>
      </c>
    </row>
    <row r="25" spans="2:4">
      <c r="B25" s="89" t="s">
        <v>128</v>
      </c>
      <c r="D25" s="99">
        <v>8500</v>
      </c>
    </row>
    <row r="26" spans="2:4" ht="15.95" customHeight="1"/>
    <row r="27" spans="2:4" s="51" customFormat="1">
      <c r="B27" s="92"/>
      <c r="C27" s="93"/>
      <c r="D27" s="94"/>
    </row>
    <row r="28" spans="2:4">
      <c r="B28" s="86" t="s">
        <v>129</v>
      </c>
    </row>
    <row r="29" spans="2:4">
      <c r="B29" s="89" t="s">
        <v>130</v>
      </c>
      <c r="D29" s="99">
        <v>1600</v>
      </c>
    </row>
    <row r="30" spans="2:4">
      <c r="B30" s="95" t="s">
        <v>131</v>
      </c>
    </row>
    <row r="31" spans="2:4">
      <c r="B31" s="90" t="s">
        <v>132</v>
      </c>
    </row>
    <row r="32" spans="2:4">
      <c r="B32" s="90" t="s">
        <v>133</v>
      </c>
    </row>
    <row r="33" spans="2:4">
      <c r="B33" s="90" t="s">
        <v>134</v>
      </c>
    </row>
    <row r="34" spans="2:4">
      <c r="B34" s="96"/>
    </row>
    <row r="35" spans="2:4">
      <c r="B35" s="97" t="s">
        <v>135</v>
      </c>
      <c r="C35" s="93">
        <v>12000</v>
      </c>
      <c r="D35" s="94">
        <v>950</v>
      </c>
    </row>
    <row r="36" spans="2:4">
      <c r="B36" s="98" t="s">
        <v>136</v>
      </c>
      <c r="C36" s="85">
        <v>5400</v>
      </c>
      <c r="D36" s="99">
        <v>450</v>
      </c>
    </row>
    <row r="37" spans="2:4">
      <c r="B37" s="98" t="s">
        <v>137</v>
      </c>
      <c r="C37" s="85">
        <v>5400</v>
      </c>
      <c r="D37" s="99">
        <v>450</v>
      </c>
    </row>
    <row r="38" spans="2:4">
      <c r="B38" s="98" t="s">
        <v>138</v>
      </c>
      <c r="C38" s="85">
        <v>1200</v>
      </c>
      <c r="D38" s="99">
        <v>50</v>
      </c>
    </row>
    <row r="39" spans="2:4">
      <c r="B39" s="98"/>
    </row>
    <row r="40" spans="2:4">
      <c r="B40" s="97" t="s">
        <v>139</v>
      </c>
      <c r="C40" s="93">
        <f>D40*12</f>
        <v>5400</v>
      </c>
      <c r="D40" s="94">
        <v>450</v>
      </c>
    </row>
    <row r="41" spans="2:4">
      <c r="B41" s="98"/>
    </row>
    <row r="42" spans="2:4">
      <c r="B42" s="97" t="s">
        <v>140</v>
      </c>
      <c r="C42" s="85">
        <v>1100</v>
      </c>
      <c r="D42" s="99">
        <f>C42</f>
        <v>1100</v>
      </c>
    </row>
    <row r="43" spans="2:4">
      <c r="B43" s="90" t="s">
        <v>141</v>
      </c>
    </row>
    <row r="44" spans="2:4">
      <c r="B44" s="90"/>
    </row>
    <row r="45" spans="2:4">
      <c r="B45" s="97" t="s">
        <v>142</v>
      </c>
      <c r="C45" s="93">
        <v>18000</v>
      </c>
      <c r="D45" s="94">
        <v>1500</v>
      </c>
    </row>
    <row r="46" spans="2:4">
      <c r="B46" s="90" t="s">
        <v>143</v>
      </c>
    </row>
    <row r="47" spans="2:4">
      <c r="B47" s="90" t="s">
        <v>144</v>
      </c>
    </row>
    <row r="48" spans="2:4">
      <c r="B48" s="90" t="s">
        <v>145</v>
      </c>
    </row>
    <row r="49" spans="2:2">
      <c r="B49" s="90" t="s">
        <v>146</v>
      </c>
    </row>
    <row r="50" spans="2:2">
      <c r="B50" s="90" t="s">
        <v>147</v>
      </c>
    </row>
    <row r="51" spans="2:2">
      <c r="B51" s="90" t="s">
        <v>148</v>
      </c>
    </row>
    <row r="52" spans="2:2">
      <c r="B52" s="90" t="s">
        <v>149</v>
      </c>
    </row>
    <row r="53" spans="2:2">
      <c r="B53" s="90" t="s">
        <v>150</v>
      </c>
    </row>
    <row r="54" spans="2:2">
      <c r="B54" s="9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Mayrita Halvorsrud</dc:creator>
  <cp:keywords/>
  <dc:description/>
  <cp:lastModifiedBy/>
  <cp:revision/>
  <dcterms:created xsi:type="dcterms:W3CDTF">2025-03-04T13:13:40Z</dcterms:created>
  <dcterms:modified xsi:type="dcterms:W3CDTF">2026-02-20T07:57:34Z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8ed2b6-6954-4912-aa22-7a97e95defb5_Enabled">
    <vt:lpwstr>true</vt:lpwstr>
  </property>
  <property fmtid="{D5CDD505-2E9C-101B-9397-08002B2CF9AE}" pid="3" name="MSIP_Label_fe8ed2b6-6954-4912-aa22-7a97e95defb5_SetDate">
    <vt:lpwstr>2025-03-27T09:55:39Z</vt:lpwstr>
  </property>
  <property fmtid="{D5CDD505-2E9C-101B-9397-08002B2CF9AE}" pid="4" name="MSIP_Label_fe8ed2b6-6954-4912-aa22-7a97e95defb5_Method">
    <vt:lpwstr>Standard</vt:lpwstr>
  </property>
  <property fmtid="{D5CDD505-2E9C-101B-9397-08002B2CF9AE}" pid="5" name="MSIP_Label_fe8ed2b6-6954-4912-aa22-7a97e95defb5_Name">
    <vt:lpwstr>Felles</vt:lpwstr>
  </property>
  <property fmtid="{D5CDD505-2E9C-101B-9397-08002B2CF9AE}" pid="6" name="MSIP_Label_fe8ed2b6-6954-4912-aa22-7a97e95defb5_SiteId">
    <vt:lpwstr>c52b1aba-6384-46ec-abc8-75462fe65d8c</vt:lpwstr>
  </property>
  <property fmtid="{D5CDD505-2E9C-101B-9397-08002B2CF9AE}" pid="7" name="MSIP_Label_fe8ed2b6-6954-4912-aa22-7a97e95defb5_ActionId">
    <vt:lpwstr>0bc5b8f7-d8cb-40a0-95ba-c5c3f836a7d8</vt:lpwstr>
  </property>
  <property fmtid="{D5CDD505-2E9C-101B-9397-08002B2CF9AE}" pid="8" name="MSIP_Label_fe8ed2b6-6954-4912-aa22-7a97e95defb5_ContentBits">
    <vt:lpwstr>0</vt:lpwstr>
  </property>
  <property fmtid="{D5CDD505-2E9C-101B-9397-08002B2CF9AE}" pid="9" name="MSIP_Label_fe8ed2b6-6954-4912-aa22-7a97e95defb5_Tag">
    <vt:lpwstr>50, 3, 0, 1</vt:lpwstr>
  </property>
</Properties>
</file>